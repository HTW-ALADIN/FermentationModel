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rver\Tools\python\FermentALADIN\FermentationModel\"/>
    </mc:Choice>
  </mc:AlternateContent>
  <xr:revisionPtr revIDLastSave="0" documentId="13_ncr:1_{E1EDA59A-AC00-42DD-8E65-D7ADD7016D49}" xr6:coauthVersionLast="47" xr6:coauthVersionMax="47" xr10:uidLastSave="{00000000-0000-0000-0000-000000000000}"/>
  <bookViews>
    <workbookView xWindow="-103" yWindow="-103" windowWidth="24892" windowHeight="14914" xr2:uid="{66E3D132-4FA8-40D7-B6AE-50FDCDDD87B9}"/>
  </bookViews>
  <sheets>
    <sheet name="Hübsch" sheetId="5" r:id="rId1"/>
    <sheet name="Input_Array" sheetId="7" r:id="rId2"/>
    <sheet name="ToDo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7" l="1"/>
  <c r="I6" i="7"/>
  <c r="I7" i="7"/>
  <c r="I4" i="7"/>
  <c r="T23" i="7" l="1"/>
  <c r="S23" i="7"/>
  <c r="R23" i="7"/>
  <c r="Q23" i="7"/>
  <c r="P23" i="7"/>
  <c r="O23" i="7"/>
  <c r="Q4" i="7" l="1"/>
  <c r="N41" i="7"/>
  <c r="Y23" i="7" l="1"/>
  <c r="X23" i="7"/>
  <c r="W23" i="7"/>
  <c r="V23" i="7"/>
  <c r="U23" i="7"/>
  <c r="F7" i="5"/>
  <c r="F8" i="5" s="1"/>
  <c r="F9" i="5" s="1"/>
  <c r="T42" i="7" l="1"/>
  <c r="T39" i="7"/>
  <c r="N23" i="7" s="1"/>
  <c r="I42" i="7"/>
  <c r="H42" i="7"/>
  <c r="N42" i="7"/>
  <c r="Q26" i="5"/>
  <c r="Q18" i="5"/>
  <c r="R20" i="5"/>
  <c r="R12" i="5"/>
  <c r="C23" i="5"/>
  <c r="C3" i="5"/>
  <c r="D23" i="7"/>
  <c r="K23" i="7"/>
  <c r="M23" i="7"/>
  <c r="L23" i="7" l="1"/>
  <c r="G23" i="7"/>
  <c r="F23" i="7"/>
  <c r="E23" i="7"/>
  <c r="C23" i="7"/>
  <c r="B23" i="7"/>
  <c r="A23" i="7"/>
  <c r="N40" i="7"/>
  <c r="N4" i="7"/>
  <c r="L4" i="7"/>
  <c r="K5" i="7"/>
  <c r="K6" i="7"/>
  <c r="K7" i="7"/>
  <c r="K4" i="7"/>
  <c r="H7" i="7"/>
  <c r="H5" i="7"/>
  <c r="H6" i="7"/>
  <c r="H4" i="7"/>
  <c r="N39" i="7"/>
  <c r="H23" i="7" s="1"/>
  <c r="G5" i="7"/>
  <c r="G6" i="7"/>
  <c r="G7" i="7"/>
  <c r="G4" i="7"/>
  <c r="F5" i="7"/>
  <c r="F6" i="7"/>
  <c r="F7" i="7"/>
  <c r="F4" i="7"/>
  <c r="E5" i="7"/>
  <c r="E6" i="7"/>
  <c r="E7" i="7"/>
  <c r="E4" i="7"/>
  <c r="D5" i="7"/>
  <c r="D6" i="7"/>
  <c r="D7" i="7"/>
  <c r="D4" i="7"/>
  <c r="C4" i="7" a="1"/>
  <c r="C4" i="7" s="1"/>
  <c r="B5" i="7"/>
  <c r="B6" i="7"/>
  <c r="B7" i="7"/>
  <c r="B4" i="7"/>
  <c r="I23" i="7" l="1"/>
  <c r="R18" i="5"/>
  <c r="P23" i="5"/>
  <c r="P24" i="5" s="1"/>
  <c r="P25" i="5" s="1"/>
  <c r="P15" i="5"/>
  <c r="P16" i="5" s="1"/>
  <c r="P17" i="5" s="1"/>
  <c r="C16" i="5"/>
  <c r="C17" i="5" s="1"/>
  <c r="C18" i="5" s="1"/>
  <c r="C7" i="5"/>
  <c r="C8" i="5" s="1"/>
  <c r="C9" i="5" s="1"/>
  <c r="O5" i="5"/>
  <c r="G16" i="5" l="1"/>
  <c r="J5" i="7" l="1"/>
  <c r="J6" i="7"/>
  <c r="J7" i="7"/>
  <c r="J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Katzberg, Michael</author>
  </authors>
  <commentList>
    <comment ref="I3" authorId="0" shapeId="0" xr:uid="{62D9531E-F7A1-4EC5-8522-65A41D30504B}">
      <text>
        <r>
          <rPr>
            <b/>
            <sz val="9"/>
            <color indexed="81"/>
            <rFont val="Segoe UI"/>
            <family val="2"/>
          </rPr>
          <t>Katzberg, Michael:</t>
        </r>
        <r>
          <rPr>
            <sz val="9"/>
            <color indexed="81"/>
            <rFont val="Segoe UI"/>
            <family val="2"/>
          </rPr>
          <t xml:space="preserve">
in L</t>
        </r>
      </text>
    </comment>
    <comment ref="T38" authorId="0" shapeId="0" xr:uid="{2C675A6B-8C81-4125-84EB-EFF206BA3A19}">
      <text>
        <r>
          <rPr>
            <b/>
            <sz val="9"/>
            <color indexed="81"/>
            <rFont val="Segoe UI"/>
            <family val="2"/>
          </rPr>
          <t>Katzberg, Michael:</t>
        </r>
        <r>
          <rPr>
            <sz val="9"/>
            <color indexed="81"/>
            <rFont val="Segoe UI"/>
            <family val="2"/>
          </rPr>
          <t xml:space="preserve">
Ausbeutekoeffizient CO2 aus Produktbildungsweg = Mol CO2 * MW CO2 / Mol Produkt* MW Produkt</t>
        </r>
      </text>
    </comment>
    <comment ref="M39" authorId="0" shapeId="0" xr:uid="{526518E7-D014-4F44-BAD8-5558D390607F}">
      <text>
        <r>
          <rPr>
            <b/>
            <sz val="9"/>
            <color indexed="81"/>
            <rFont val="Segoe UI"/>
            <family val="2"/>
          </rPr>
          <t>Katzberg, Michael:</t>
        </r>
        <r>
          <rPr>
            <sz val="9"/>
            <color indexed="81"/>
            <rFont val="Segoe UI"/>
            <family val="2"/>
          </rPr>
          <t xml:space="preserve">
nach Harvard Bionumbers für E.coli</t>
        </r>
      </text>
    </comment>
    <comment ref="R42" authorId="0" shapeId="0" xr:uid="{74316486-847C-4947-887B-6B379B05F9FF}">
      <text>
        <r>
          <rPr>
            <b/>
            <sz val="9"/>
            <color indexed="81"/>
            <rFont val="Segoe UI"/>
            <family val="2"/>
          </rPr>
          <t>Katzberg, Michael:</t>
        </r>
        <r>
          <rPr>
            <sz val="9"/>
            <color indexed="81"/>
            <rFont val="Segoe UI"/>
            <family val="2"/>
          </rPr>
          <t xml:space="preserve">
Theoretisches Maximum sind 0,47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<sst xmlns="http://schemas.openxmlformats.org/spreadsheetml/2006/main" count="138" uniqueCount="97">
  <si>
    <t>Mikroorganismus</t>
  </si>
  <si>
    <t>S.cerevisiae</t>
  </si>
  <si>
    <t>Modell</t>
  </si>
  <si>
    <t>Organismus</t>
  </si>
  <si>
    <t>Beschreibung</t>
  </si>
  <si>
    <t>E.coli</t>
  </si>
  <si>
    <t>T</t>
  </si>
  <si>
    <t>Parameter</t>
  </si>
  <si>
    <t>barg</t>
  </si>
  <si>
    <t>g/L</t>
  </si>
  <si>
    <t>Substrat 1</t>
  </si>
  <si>
    <t>Substrat 2</t>
  </si>
  <si>
    <t>Glucose</t>
  </si>
  <si>
    <t>(NH4)2SO4</t>
  </si>
  <si>
    <t>Ethanol</t>
  </si>
  <si>
    <t>nicht wachstumsassoziierte Ethanolbildung mit hohem Ks --&gt; höhere Biomassegehalte bei niedrigen Substrat 1 konz.</t>
  </si>
  <si>
    <t>mumax</t>
  </si>
  <si>
    <t>h</t>
  </si>
  <si>
    <t>Drehzahl</t>
  </si>
  <si>
    <t>N-Quelle</t>
  </si>
  <si>
    <t>pH</t>
  </si>
  <si>
    <r>
      <t>V</t>
    </r>
    <r>
      <rPr>
        <vertAlign val="subscript"/>
        <sz val="12"/>
        <color theme="1"/>
        <rFont val="Calibri"/>
        <family val="2"/>
        <scheme val="minor"/>
      </rPr>
      <t>start</t>
    </r>
  </si>
  <si>
    <r>
      <t>V</t>
    </r>
    <r>
      <rPr>
        <vertAlign val="subscript"/>
        <sz val="12"/>
        <color theme="1"/>
        <rFont val="Calibri"/>
        <family val="2"/>
        <scheme val="minor"/>
      </rPr>
      <t>max</t>
    </r>
  </si>
  <si>
    <t>L</t>
  </si>
  <si>
    <t>°C</t>
  </si>
  <si>
    <t>Phase</t>
  </si>
  <si>
    <t>DO</t>
  </si>
  <si>
    <t>%</t>
  </si>
  <si>
    <t xml:space="preserve">Modellierung der Temp.Abhängigkeit von µ über Arrhenius Gleichung </t>
  </si>
  <si>
    <t>Drehzahl in rpm</t>
  </si>
  <si>
    <t>Zuluft</t>
  </si>
  <si>
    <t>Druck</t>
  </si>
  <si>
    <t>Startwerte</t>
  </si>
  <si>
    <t>Bolus in g/L</t>
  </si>
  <si>
    <t>Feed in 
g/(L*h)</t>
  </si>
  <si>
    <t>Zeitlicher Ablauf</t>
  </si>
  <si>
    <t>Setpoints</t>
  </si>
  <si>
    <t>BTM</t>
  </si>
  <si>
    <t>Fermentationsmodell</t>
  </si>
  <si>
    <t>EFT</t>
  </si>
  <si>
    <t>Dauer in h</t>
  </si>
  <si>
    <t>Modell-Nr.</t>
  </si>
  <si>
    <t>Gesamt</t>
  </si>
  <si>
    <t>Produkt</t>
  </si>
  <si>
    <t>Nur in grüne Zellen schreiben!</t>
  </si>
  <si>
    <t>Wenn Phase nicht gebraucht wird -&gt; 0 eintragen</t>
  </si>
  <si>
    <t>E.coli Biomass</t>
  </si>
  <si>
    <t>Reaktorparameter</t>
  </si>
  <si>
    <t>KS1</t>
  </si>
  <si>
    <t>KS2</t>
  </si>
  <si>
    <t>V_L</t>
  </si>
  <si>
    <t>c_x0</t>
  </si>
  <si>
    <t>KMS1</t>
  </si>
  <si>
    <t>YXS1</t>
  </si>
  <si>
    <t>YXS2</t>
  </si>
  <si>
    <t>YXO2</t>
  </si>
  <si>
    <t>Prod</t>
  </si>
  <si>
    <t>alpha</t>
  </si>
  <si>
    <t>beta</t>
  </si>
  <si>
    <t>YPS1</t>
  </si>
  <si>
    <t>Bolus_C</t>
  </si>
  <si>
    <t>Feed_C</t>
  </si>
  <si>
    <t>Bolus_N</t>
  </si>
  <si>
    <t>h_to_D</t>
  </si>
  <si>
    <t>d_to_D</t>
  </si>
  <si>
    <t>level</t>
  </si>
  <si>
    <t>N_stirrer</t>
  </si>
  <si>
    <t>Q_Out</t>
  </si>
  <si>
    <t>Fermentationsparametertabelle - "Fpar"</t>
  </si>
  <si>
    <t>Dauer</t>
  </si>
  <si>
    <t>Modellparametertaberlle Mpar</t>
  </si>
  <si>
    <t>Bemerkung</t>
  </si>
  <si>
    <t>erdachte Parameter! Nicht getestet</t>
  </si>
  <si>
    <t>Modellparameterdatenbank</t>
  </si>
  <si>
    <t>KS_O2</t>
  </si>
  <si>
    <t>RQ_x</t>
  </si>
  <si>
    <t>Y_CO2_P</t>
  </si>
  <si>
    <t>PHB Produktion</t>
  </si>
  <si>
    <t>Cupriavidus necator</t>
  </si>
  <si>
    <t>Fructose</t>
  </si>
  <si>
    <t>NH4-N</t>
  </si>
  <si>
    <t>PHB</t>
  </si>
  <si>
    <t>Parameter aus Praktikum</t>
  </si>
  <si>
    <t xml:space="preserve">Mikroorganismus </t>
  </si>
  <si>
    <t>C-Quelle</t>
  </si>
  <si>
    <t>Biomasse</t>
  </si>
  <si>
    <t>Q_In</t>
  </si>
  <si>
    <t>Feed_N</t>
  </si>
  <si>
    <t>Model</t>
  </si>
  <si>
    <t>NL/min</t>
  </si>
  <si>
    <t>Q_Air</t>
  </si>
  <si>
    <t>pH_min</t>
  </si>
  <si>
    <t>pH_opt</t>
  </si>
  <si>
    <t>pH_max</t>
  </si>
  <si>
    <t>T_min</t>
  </si>
  <si>
    <t>T_opt</t>
  </si>
  <si>
    <t>T_max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</si>
</sst>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Border="1"/>
    <xf numFmtId="0" fontId="2" fillId="0" borderId="0" xfId="0" applyFont="1" applyBorder="1"/>
    <xf numFmtId="0" fontId="0" fillId="4" borderId="0" xfId="0" applyFill="1"/>
    <xf numFmtId="0" fontId="8" fillId="4" borderId="0" xfId="0" applyFont="1" applyFill="1"/>
    <xf numFmtId="0" fontId="0" fillId="5" borderId="9" xfId="0" applyFill="1" applyBorder="1"/>
    <xf numFmtId="0" fontId="0" fillId="4" borderId="0" xfId="0" applyFill="1" applyBorder="1"/>
    <xf numFmtId="0" fontId="3" fillId="4" borderId="0" xfId="0" applyFont="1" applyFill="1"/>
    <xf numFmtId="0" fontId="10" fillId="4" borderId="0" xfId="0" applyFont="1" applyFill="1"/>
    <xf numFmtId="0" fontId="1" fillId="4" borderId="0" xfId="0" applyFont="1" applyFill="1"/>
    <xf numFmtId="0" fontId="10" fillId="4" borderId="7" xfId="0" applyFont="1" applyFill="1" applyBorder="1"/>
    <xf numFmtId="0" fontId="8" fillId="4" borderId="7" xfId="0" applyFont="1" applyFill="1" applyBorder="1"/>
    <xf numFmtId="0" fontId="8" fillId="4" borderId="10" xfId="0" applyFont="1" applyFill="1" applyBorder="1"/>
    <xf numFmtId="0" fontId="0" fillId="0" borderId="11" xfId="0" applyBorder="1"/>
    <xf numFmtId="0" fontId="2" fillId="4" borderId="0" xfId="0" applyFont="1" applyFill="1"/>
    <xf numFmtId="0" fontId="4" fillId="4" borderId="0" xfId="0" applyFont="1" applyFill="1" applyAlignment="1">
      <alignment horizontal="right"/>
    </xf>
    <xf numFmtId="0" fontId="4" fillId="4" borderId="0" xfId="0" applyFont="1" applyFill="1"/>
    <xf numFmtId="0" fontId="8" fillId="4" borderId="0" xfId="0" applyFont="1" applyFill="1" applyBorder="1"/>
    <xf numFmtId="0" fontId="2" fillId="7" borderId="1" xfId="0" applyFont="1" applyFill="1" applyBorder="1"/>
    <xf numFmtId="0" fontId="2" fillId="7" borderId="3" xfId="0" applyFont="1" applyFill="1" applyBorder="1"/>
    <xf numFmtId="0" fontId="2" fillId="6" borderId="1" xfId="0" applyFont="1" applyFill="1" applyBorder="1"/>
    <xf numFmtId="0" fontId="2" fillId="6" borderId="3" xfId="0" applyFont="1" applyFill="1" applyBorder="1" applyAlignment="1">
      <alignment wrapText="1"/>
    </xf>
    <xf numFmtId="0" fontId="2" fillId="4" borderId="1" xfId="0" applyFont="1" applyFill="1" applyBorder="1"/>
    <xf numFmtId="0" fontId="2" fillId="4" borderId="3" xfId="0" applyFont="1" applyFill="1" applyBorder="1" applyAlignment="1">
      <alignment wrapText="1"/>
    </xf>
    <xf numFmtId="0" fontId="0" fillId="8" borderId="2" xfId="0" applyFill="1" applyBorder="1"/>
    <xf numFmtId="0" fontId="0" fillId="8" borderId="3" xfId="0" applyFill="1" applyBorder="1"/>
    <xf numFmtId="0" fontId="0" fillId="8" borderId="0" xfId="0" applyFill="1" applyBorder="1"/>
    <xf numFmtId="0" fontId="0" fillId="8" borderId="5" xfId="0" applyFill="1" applyBorder="1"/>
    <xf numFmtId="0" fontId="0" fillId="8" borderId="7" xfId="0" applyFill="1" applyBorder="1"/>
    <xf numFmtId="0" fontId="0" fillId="8" borderId="8" xfId="0" applyFill="1" applyBorder="1"/>
    <xf numFmtId="0" fontId="4" fillId="8" borderId="1" xfId="0" applyFont="1" applyFill="1" applyBorder="1"/>
    <xf numFmtId="0" fontId="3" fillId="8" borderId="6" xfId="0" applyFont="1" applyFill="1" applyBorder="1"/>
    <xf numFmtId="0" fontId="3" fillId="8" borderId="7" xfId="0" applyFont="1" applyFill="1" applyBorder="1"/>
    <xf numFmtId="0" fontId="2" fillId="3" borderId="1" xfId="0" applyFont="1" applyFill="1" applyBorder="1"/>
    <xf numFmtId="0" fontId="2" fillId="3" borderId="3" xfId="0" applyFont="1" applyFill="1" applyBorder="1" applyAlignment="1">
      <alignment wrapText="1"/>
    </xf>
    <xf numFmtId="0" fontId="0" fillId="2" borderId="12" xfId="0" applyFill="1" applyBorder="1"/>
    <xf numFmtId="0" fontId="0" fillId="2" borderId="13" xfId="0" applyFill="1" applyBorder="1"/>
    <xf numFmtId="0" fontId="8" fillId="8" borderId="9" xfId="0" applyFont="1" applyFill="1" applyBorder="1"/>
    <xf numFmtId="0" fontId="0" fillId="8" borderId="0" xfId="0" applyFill="1"/>
    <xf numFmtId="0" fontId="11" fillId="8" borderId="0" xfId="0" applyFont="1" applyFill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4" fillId="8" borderId="0" xfId="0" applyFont="1" applyFill="1" applyAlignment="1">
      <alignment horizontal="right"/>
    </xf>
    <xf numFmtId="0" fontId="4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center" wrapText="1"/>
    </xf>
    <xf numFmtId="0" fontId="2" fillId="8" borderId="0" xfId="0" applyFont="1" applyFill="1" applyBorder="1"/>
    <xf numFmtId="0" fontId="2" fillId="8" borderId="0" xfId="0" applyFont="1" applyFill="1" applyBorder="1" applyAlignment="1">
      <alignment horizontal="center"/>
    </xf>
    <xf numFmtId="0" fontId="2" fillId="8" borderId="6" xfId="0" applyFont="1" applyFill="1" applyBorder="1"/>
    <xf numFmtId="0" fontId="2" fillId="8" borderId="7" xfId="0" applyFont="1" applyFill="1" applyBorder="1"/>
    <xf numFmtId="0" fontId="2" fillId="8" borderId="8" xfId="0" applyFont="1" applyFill="1" applyBorder="1"/>
    <xf numFmtId="0" fontId="2" fillId="8" borderId="0" xfId="0" applyFont="1" applyFill="1" applyBorder="1" applyAlignment="1">
      <alignment wrapText="1"/>
    </xf>
    <xf numFmtId="0" fontId="0" fillId="0" borderId="16" xfId="0" applyBorder="1"/>
    <xf numFmtId="0" fontId="10" fillId="2" borderId="7" xfId="0" applyFont="1" applyFill="1" applyBorder="1"/>
    <xf numFmtId="0" fontId="8" fillId="2" borderId="7" xfId="0" applyFont="1" applyFill="1" applyBorder="1"/>
    <xf numFmtId="0" fontId="3" fillId="8" borderId="0" xfId="0" applyFont="1" applyFill="1"/>
    <xf numFmtId="0" fontId="3" fillId="8" borderId="14" xfId="0" applyFont="1" applyFill="1" applyBorder="1"/>
    <xf numFmtId="0" fontId="4" fillId="8" borderId="0" xfId="0" applyFont="1" applyFill="1" applyBorder="1"/>
    <xf numFmtId="0" fontId="3" fillId="8" borderId="11" xfId="0" applyFont="1" applyFill="1" applyBorder="1"/>
    <xf numFmtId="0" fontId="0" fillId="0" borderId="0" xfId="0" applyFill="1" applyBorder="1"/>
    <xf numFmtId="43" fontId="8" fillId="8" borderId="9" xfId="1" applyFont="1" applyFill="1" applyBorder="1" applyAlignment="1">
      <alignment wrapText="1"/>
    </xf>
    <xf numFmtId="43" fontId="8" fillId="8" borderId="9" xfId="1" applyFont="1" applyFill="1" applyBorder="1"/>
    <xf numFmtId="0" fontId="0" fillId="0" borderId="0" xfId="0" applyNumberFormat="1" applyAlignment="1">
      <alignment wrapText="1"/>
    </xf>
    <xf numFmtId="0" fontId="0" fillId="9" borderId="0" xfId="0" applyFill="1"/>
    <xf numFmtId="2" fontId="0" fillId="0" borderId="0" xfId="1" applyNumberFormat="1" applyFont="1" applyAlignment="1">
      <alignment wrapText="1"/>
    </xf>
    <xf numFmtId="0" fontId="12" fillId="8" borderId="15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center" wrapText="1"/>
    </xf>
    <xf numFmtId="0" fontId="2" fillId="8" borderId="0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horizontal="center" wrapText="1"/>
    </xf>
  </cellXfs>
  <cellStyles count="2">
    <cellStyle name="Komma" xfId="1" builtinId="3"/>
    <cellStyle name="Standard" xfId="0" builtinId="0"/>
  </cellStyles>
  <dxfs count="2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10</xdr:row>
      <xdr:rowOff>19050</xdr:rowOff>
    </xdr:from>
    <xdr:to>
      <xdr:col>6</xdr:col>
      <xdr:colOff>466724</xdr:colOff>
      <xdr:row>12</xdr:row>
      <xdr:rowOff>9525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B3F2EE08-2A20-4329-8591-DF6C66079824}"/>
            </a:ext>
          </a:extLst>
        </xdr:cNvPr>
        <xdr:cNvSpPr/>
      </xdr:nvSpPr>
      <xdr:spPr>
        <a:xfrm>
          <a:off x="5429249" y="781050"/>
          <a:ext cx="809625" cy="371475"/>
        </a:xfrm>
        <a:prstGeom prst="ellipse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</xdr:col>
      <xdr:colOff>9524</xdr:colOff>
      <xdr:row>28</xdr:row>
      <xdr:rowOff>19050</xdr:rowOff>
    </xdr:from>
    <xdr:to>
      <xdr:col>6</xdr:col>
      <xdr:colOff>457199</xdr:colOff>
      <xdr:row>30</xdr:row>
      <xdr:rowOff>9525</xdr:rowOff>
    </xdr:to>
    <xdr:sp macro="" textlink="">
      <xdr:nvSpPr>
        <xdr:cNvPr id="8" name="Ellipse 7">
          <a:extLst>
            <a:ext uri="{FF2B5EF4-FFF2-40B4-BE49-F238E27FC236}">
              <a16:creationId xmlns:a16="http://schemas.microsoft.com/office/drawing/2014/main" id="{F43358B4-EB95-43CC-85CF-23A104F5206C}"/>
            </a:ext>
          </a:extLst>
        </xdr:cNvPr>
        <xdr:cNvSpPr/>
      </xdr:nvSpPr>
      <xdr:spPr>
        <a:xfrm>
          <a:off x="5419724" y="4210050"/>
          <a:ext cx="809625" cy="371475"/>
        </a:xfrm>
        <a:prstGeom prst="ellipse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238124</xdr:colOff>
      <xdr:row>10</xdr:row>
      <xdr:rowOff>0</xdr:rowOff>
    </xdr:from>
    <xdr:to>
      <xdr:col>14</xdr:col>
      <xdr:colOff>9524</xdr:colOff>
      <xdr:row>11</xdr:row>
      <xdr:rowOff>180975</xdr:rowOff>
    </xdr:to>
    <xdr:sp macro="" textlink="">
      <xdr:nvSpPr>
        <xdr:cNvPr id="9" name="Ellipse 8">
          <a:extLst>
            <a:ext uri="{FF2B5EF4-FFF2-40B4-BE49-F238E27FC236}">
              <a16:creationId xmlns:a16="http://schemas.microsoft.com/office/drawing/2014/main" id="{42EB75B0-7E9A-4ADF-BA21-1576C200F3DC}"/>
            </a:ext>
          </a:extLst>
        </xdr:cNvPr>
        <xdr:cNvSpPr/>
      </xdr:nvSpPr>
      <xdr:spPr>
        <a:xfrm>
          <a:off x="7534274" y="762000"/>
          <a:ext cx="809625" cy="371475"/>
        </a:xfrm>
        <a:prstGeom prst="ellipse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219074</xdr:colOff>
      <xdr:row>28</xdr:row>
      <xdr:rowOff>9525</xdr:rowOff>
    </xdr:from>
    <xdr:to>
      <xdr:col>13</xdr:col>
      <xdr:colOff>266699</xdr:colOff>
      <xdr:row>30</xdr:row>
      <xdr:rowOff>0</xdr:rowOff>
    </xdr:to>
    <xdr:sp macro="" textlink="">
      <xdr:nvSpPr>
        <xdr:cNvPr id="10" name="Ellipse 9">
          <a:extLst>
            <a:ext uri="{FF2B5EF4-FFF2-40B4-BE49-F238E27FC236}">
              <a16:creationId xmlns:a16="http://schemas.microsoft.com/office/drawing/2014/main" id="{D2A831C1-3BF1-4CD5-AFEB-4DF68A3F10BE}"/>
            </a:ext>
          </a:extLst>
        </xdr:cNvPr>
        <xdr:cNvSpPr/>
      </xdr:nvSpPr>
      <xdr:spPr>
        <a:xfrm>
          <a:off x="7515224" y="4200525"/>
          <a:ext cx="809625" cy="371475"/>
        </a:xfrm>
        <a:prstGeom prst="ellipse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</xdr:col>
      <xdr:colOff>0</xdr:colOff>
      <xdr:row>5</xdr:row>
      <xdr:rowOff>186019</xdr:rowOff>
    </xdr:from>
    <xdr:to>
      <xdr:col>9</xdr:col>
      <xdr:colOff>11206</xdr:colOff>
      <xdr:row>10</xdr:row>
      <xdr:rowOff>22411</xdr:rowOff>
    </xdr:to>
    <xdr:cxnSp macro="">
      <xdr:nvCxnSpPr>
        <xdr:cNvPr id="12" name="Gerader Verbinder 11">
          <a:extLst>
            <a:ext uri="{FF2B5EF4-FFF2-40B4-BE49-F238E27FC236}">
              <a16:creationId xmlns:a16="http://schemas.microsoft.com/office/drawing/2014/main" id="{825EADC2-A80D-452E-ACD6-2DF023CC927E}"/>
            </a:ext>
          </a:extLst>
        </xdr:cNvPr>
        <xdr:cNvCxnSpPr>
          <a:stCxn id="17" idx="4"/>
        </xdr:cNvCxnSpPr>
      </xdr:nvCxnSpPr>
      <xdr:spPr>
        <a:xfrm flipH="1">
          <a:off x="7709647" y="779931"/>
          <a:ext cx="11206" cy="800098"/>
        </a:xfrm>
        <a:prstGeom prst="line">
          <a:avLst/>
        </a:prstGeom>
        <a:ln w="57150"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235323</xdr:colOff>
      <xdr:row>3</xdr:row>
      <xdr:rowOff>179295</xdr:rowOff>
    </xdr:from>
    <xdr:to>
      <xdr:col>10</xdr:col>
      <xdr:colOff>123264</xdr:colOff>
      <xdr:row>5</xdr:row>
      <xdr:rowOff>414619</xdr:rowOff>
    </xdr:to>
    <xdr:sp macro="" textlink="">
      <xdr:nvSpPr>
        <xdr:cNvPr id="17" name="Ellipse 16">
          <a:extLst>
            <a:ext uri="{FF2B5EF4-FFF2-40B4-BE49-F238E27FC236}">
              <a16:creationId xmlns:a16="http://schemas.microsoft.com/office/drawing/2014/main" id="{B42748D1-6942-4E56-9364-EAA197A7312A}"/>
            </a:ext>
          </a:extLst>
        </xdr:cNvPr>
        <xdr:cNvSpPr/>
      </xdr:nvSpPr>
      <xdr:spPr>
        <a:xfrm>
          <a:off x="7373470" y="179295"/>
          <a:ext cx="627529" cy="616324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de-DE" sz="2800" baseline="0"/>
            <a:t>M</a:t>
          </a:r>
        </a:p>
      </xdr:txBody>
    </xdr:sp>
    <xdr:clientData/>
  </xdr:twoCellAnchor>
  <xdr:twoCellAnchor>
    <xdr:from>
      <xdr:col>4</xdr:col>
      <xdr:colOff>0</xdr:colOff>
      <xdr:row>13</xdr:row>
      <xdr:rowOff>182656</xdr:rowOff>
    </xdr:from>
    <xdr:to>
      <xdr:col>5</xdr:col>
      <xdr:colOff>16249</xdr:colOff>
      <xdr:row>13</xdr:row>
      <xdr:rowOff>192742</xdr:rowOff>
    </xdr:to>
    <xdr:cxnSp macro="">
      <xdr:nvCxnSpPr>
        <xdr:cNvPr id="22" name="Gerade Verbindung mit Pfeil 21">
          <a:extLst>
            <a:ext uri="{FF2B5EF4-FFF2-40B4-BE49-F238E27FC236}">
              <a16:creationId xmlns:a16="http://schemas.microsoft.com/office/drawing/2014/main" id="{B3678E67-B507-43AD-8C5D-47D21C0A0952}"/>
            </a:ext>
          </a:extLst>
        </xdr:cNvPr>
        <xdr:cNvCxnSpPr/>
      </xdr:nvCxnSpPr>
      <xdr:spPr>
        <a:xfrm flipV="1">
          <a:off x="2552700" y="3278281"/>
          <a:ext cx="1044949" cy="1008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33618</xdr:colOff>
      <xdr:row>20</xdr:row>
      <xdr:rowOff>0</xdr:rowOff>
    </xdr:from>
    <xdr:to>
      <xdr:col>18</xdr:col>
      <xdr:colOff>24190</xdr:colOff>
      <xdr:row>20</xdr:row>
      <xdr:rowOff>6048</xdr:rowOff>
    </xdr:to>
    <xdr:cxnSp macro="">
      <xdr:nvCxnSpPr>
        <xdr:cNvPr id="25" name="Gerade Verbindung mit Pfeil 24">
          <a:extLst>
            <a:ext uri="{FF2B5EF4-FFF2-40B4-BE49-F238E27FC236}">
              <a16:creationId xmlns:a16="http://schemas.microsoft.com/office/drawing/2014/main" id="{D3C68174-1678-44E2-B751-5F3A85A1011C}"/>
            </a:ext>
          </a:extLst>
        </xdr:cNvPr>
        <xdr:cNvCxnSpPr/>
      </xdr:nvCxnSpPr>
      <xdr:spPr>
        <a:xfrm flipH="1" flipV="1">
          <a:off x="7278666" y="4898571"/>
          <a:ext cx="3002286" cy="604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0</xdr:rowOff>
    </xdr:from>
    <xdr:to>
      <xdr:col>5</xdr:col>
      <xdr:colOff>19049</xdr:colOff>
      <xdr:row>11</xdr:row>
      <xdr:rowOff>14288</xdr:rowOff>
    </xdr:to>
    <xdr:cxnSp macro="">
      <xdr:nvCxnSpPr>
        <xdr:cNvPr id="6" name="Gerader Verbinder 5">
          <a:extLst>
            <a:ext uri="{FF2B5EF4-FFF2-40B4-BE49-F238E27FC236}">
              <a16:creationId xmlns:a16="http://schemas.microsoft.com/office/drawing/2014/main" id="{CAA2C9A4-D386-45D0-9C6F-6F04DCC7613D}"/>
            </a:ext>
          </a:extLst>
        </xdr:cNvPr>
        <xdr:cNvCxnSpPr>
          <a:stCxn id="7" idx="2"/>
        </xdr:cNvCxnSpPr>
      </xdr:nvCxnSpPr>
      <xdr:spPr>
        <a:xfrm flipH="1" flipV="1">
          <a:off x="4572000" y="1871382"/>
          <a:ext cx="1621490" cy="14288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11206</xdr:colOff>
      <xdr:row>9</xdr:row>
      <xdr:rowOff>22412</xdr:rowOff>
    </xdr:from>
    <xdr:to>
      <xdr:col>3</xdr:col>
      <xdr:colOff>11206</xdr:colOff>
      <xdr:row>11</xdr:row>
      <xdr:rowOff>0</xdr:rowOff>
    </xdr:to>
    <xdr:cxnSp macro="">
      <xdr:nvCxnSpPr>
        <xdr:cNvPr id="16" name="Gerader Verbinder 15">
          <a:extLst>
            <a:ext uri="{FF2B5EF4-FFF2-40B4-BE49-F238E27FC236}">
              <a16:creationId xmlns:a16="http://schemas.microsoft.com/office/drawing/2014/main" id="{B1613E8B-C7D4-4CB8-A256-FF7E45C6F6DE}"/>
            </a:ext>
          </a:extLst>
        </xdr:cNvPr>
        <xdr:cNvCxnSpPr/>
      </xdr:nvCxnSpPr>
      <xdr:spPr>
        <a:xfrm flipV="1">
          <a:off x="4583206" y="1501588"/>
          <a:ext cx="0" cy="36979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254693</xdr:colOff>
      <xdr:row>12</xdr:row>
      <xdr:rowOff>0</xdr:rowOff>
    </xdr:from>
    <xdr:to>
      <xdr:col>18</xdr:col>
      <xdr:colOff>6048</xdr:colOff>
      <xdr:row>12</xdr:row>
      <xdr:rowOff>3057</xdr:rowOff>
    </xdr:to>
    <xdr:cxnSp macro="">
      <xdr:nvCxnSpPr>
        <xdr:cNvPr id="20" name="Gerade Verbindung mit Pfeil 19">
          <a:extLst>
            <a:ext uri="{FF2B5EF4-FFF2-40B4-BE49-F238E27FC236}">
              <a16:creationId xmlns:a16="http://schemas.microsoft.com/office/drawing/2014/main" id="{DC6224C2-127C-44ED-A2EB-9ED5E4E64DB1}"/>
            </a:ext>
          </a:extLst>
        </xdr:cNvPr>
        <xdr:cNvCxnSpPr/>
      </xdr:nvCxnSpPr>
      <xdr:spPr>
        <a:xfrm flipH="1">
          <a:off x="7136883" y="2763762"/>
          <a:ext cx="3125927" cy="305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22411</xdr:colOff>
      <xdr:row>4</xdr:row>
      <xdr:rowOff>277907</xdr:rowOff>
    </xdr:from>
    <xdr:to>
      <xdr:col>7</xdr:col>
      <xdr:colOff>235323</xdr:colOff>
      <xdr:row>4</xdr:row>
      <xdr:rowOff>280147</xdr:rowOff>
    </xdr:to>
    <xdr:cxnSp macro="">
      <xdr:nvCxnSpPr>
        <xdr:cNvPr id="28" name="Gerader Verbinder 27">
          <a:extLst>
            <a:ext uri="{FF2B5EF4-FFF2-40B4-BE49-F238E27FC236}">
              <a16:creationId xmlns:a16="http://schemas.microsoft.com/office/drawing/2014/main" id="{9C5BED85-9657-45D0-90CA-6D0C13ED5EAE}"/>
            </a:ext>
          </a:extLst>
        </xdr:cNvPr>
        <xdr:cNvCxnSpPr>
          <a:endCxn id="17" idx="2"/>
        </xdr:cNvCxnSpPr>
      </xdr:nvCxnSpPr>
      <xdr:spPr>
        <a:xfrm flipV="1">
          <a:off x="7194176" y="479613"/>
          <a:ext cx="212912" cy="22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161925</xdr:colOff>
      <xdr:row>23</xdr:row>
      <xdr:rowOff>2802</xdr:rowOff>
    </xdr:from>
    <xdr:to>
      <xdr:col>5</xdr:col>
      <xdr:colOff>2241</xdr:colOff>
      <xdr:row>23</xdr:row>
      <xdr:rowOff>9525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3F0A134C-7EED-44E7-9A37-F13CDA637743}"/>
            </a:ext>
          </a:extLst>
        </xdr:cNvPr>
        <xdr:cNvCxnSpPr/>
      </xdr:nvCxnSpPr>
      <xdr:spPr>
        <a:xfrm flipH="1">
          <a:off x="2714625" y="5794002"/>
          <a:ext cx="869016" cy="672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676275</xdr:colOff>
      <xdr:row>0</xdr:row>
      <xdr:rowOff>180975</xdr:rowOff>
    </xdr:from>
    <xdr:to>
      <xdr:col>11</xdr:col>
      <xdr:colOff>102622</xdr:colOff>
      <xdr:row>6</xdr:row>
      <xdr:rowOff>19050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E5EEB0A-F4E6-42C6-ABD6-9E018D437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180975"/>
          <a:ext cx="3998347" cy="9810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A83D6B-2FF7-4B2E-A8FB-72A7DEBA910A}" name="ModelDB" displayName="ModelDB" ref="A38:AA42" totalsRowShown="0" headerRowDxfId="28" dataDxfId="27">
  <autoFilter ref="A38:AA42" xr:uid="{A1A83D6B-2FF7-4B2E-A8FB-72A7DEBA910A}"/>
  <tableColumns count="27">
    <tableColumn id="1" xr3:uid="{1EF6D049-2582-4B91-A7F3-379033CE0201}" name="Modell" dataDxfId="26"/>
    <tableColumn id="2" xr3:uid="{58FA0D40-FB30-44E1-91E0-03FD4DE620DE}" name="Beschreibung" dataDxfId="25"/>
    <tableColumn id="3" xr3:uid="{C51E6C93-5292-436D-86F2-AC5D08D87372}" name="Mikroorganismus" dataDxfId="24"/>
    <tableColumn id="4" xr3:uid="{489B9B46-57F2-42E6-8E84-4E4A155DDBB2}" name="Substrat 1" dataDxfId="23"/>
    <tableColumn id="5" xr3:uid="{DB9C818D-1D6C-49C0-A2C4-8F907B92C48F}" name="Substrat 2" dataDxfId="22"/>
    <tableColumn id="6" xr3:uid="{61CA6238-EA5A-4DBE-8D02-55BD9849194E}" name="Produkt" dataDxfId="21"/>
    <tableColumn id="7" xr3:uid="{59A8A8C0-A509-434C-AF73-643C0981E2FF}" name="mumax" dataDxfId="20"/>
    <tableColumn id="8" xr3:uid="{27BE3A59-8C42-4290-81D3-828A41DA971B}" name="KS1" dataDxfId="19"/>
    <tableColumn id="9" xr3:uid="{21F3B7A0-9215-4904-8389-64F1E6AF8EA7}" name="KS2" dataDxfId="18"/>
    <tableColumn id="10" xr3:uid="{FF4B1D35-D835-4136-A994-4833C3CE0EA3}" name="KMS1" dataDxfId="17"/>
    <tableColumn id="11" xr3:uid="{D0D7D431-AB5D-485C-AC7B-B66639CE4431}" name="YXS1" dataDxfId="16"/>
    <tableColumn id="12" xr3:uid="{30A9ED72-6F5E-4D0E-8C51-887ADF64F4BA}" name="YXS2" dataDxfId="15"/>
    <tableColumn id="13" xr3:uid="{DACB643F-87BE-43FF-80EE-E94C5E07FCBF}" name="YXO2" dataDxfId="14"/>
    <tableColumn id="14" xr3:uid="{24D00AD3-48EB-4A99-AFBE-5D26F8D69413}" name="KS_O2" dataDxfId="13">
      <calculatedColumnFormula>9.6*10^(-5)</calculatedColumnFormula>
    </tableColumn>
    <tableColumn id="19" xr3:uid="{4ADA4323-BD70-4DC6-8023-8CDEE22296B2}" name="Prod" dataDxfId="12"/>
    <tableColumn id="23" xr3:uid="{388C7F7F-912B-436E-9F5B-416229F55698}" name="alpha" dataDxfId="11"/>
    <tableColumn id="24" xr3:uid="{A0D5510E-8795-41FD-B744-9A09DDD6C2B0}" name="beta" dataDxfId="10"/>
    <tableColumn id="25" xr3:uid="{183C119F-97D3-447A-9D2F-8B4D65E974AA}" name="YPS1" dataDxfId="9"/>
    <tableColumn id="26" xr3:uid="{DF089249-22E7-472A-9B9D-AA06DC0060C5}" name="RQ_x" dataDxfId="8"/>
    <tableColumn id="27" xr3:uid="{B8B81F91-BBA8-409D-A1BE-37C745ED1386}" name="Y_CO2_P" dataDxfId="7"/>
    <tableColumn id="15" xr3:uid="{7F37E445-B197-4AE4-85A4-F0EAD408250A}" name="pH_min" dataDxfId="6"/>
    <tableColumn id="16" xr3:uid="{1183AC17-5321-4973-A8D1-09E813CB8125}" name="pH_opt" dataDxfId="5"/>
    <tableColumn id="22" xr3:uid="{DADA1EE1-BD5E-453C-A484-E687533334E7}" name="pH_max" dataDxfId="4"/>
    <tableColumn id="17" xr3:uid="{CD7330A0-E41C-477D-9813-056D4A47FF73}" name="T_min" dataDxfId="3"/>
    <tableColumn id="18" xr3:uid="{547CFDEE-77A3-466E-86DC-952E59D36569}" name="T_opt" dataDxfId="2"/>
    <tableColumn id="20" xr3:uid="{8F371CEE-93BF-4B0B-BDF6-80412BF73A34}" name="T_max" dataDxfId="1"/>
    <tableColumn id="28" xr3:uid="{0E92278A-96E7-486F-BC98-A506EEAC7A1B}" name="Bemerku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0311-A791-4A82-9479-DEE4F4685D3B}">
  <dimension ref="A1:AD39"/>
  <sheetViews>
    <sheetView tabSelected="1" zoomScaleNormal="60" workbookViewId="0">
      <selection activeCell="G8" sqref="G8:G9"/>
    </sheetView>
  </sheetViews>
  <sheetFormatPr baseColWidth="10" defaultRowHeight="14.6" outlineLevelRow="1" x14ac:dyDescent="0.4"/>
  <cols>
    <col min="1" max="1" width="6.69140625" customWidth="1"/>
    <col min="2" max="2" width="13.15234375" customWidth="1"/>
    <col min="3" max="3" width="7" customWidth="1"/>
    <col min="4" max="4" width="11.3828125" customWidth="1"/>
    <col min="5" max="5" width="15.3828125" customWidth="1"/>
    <col min="6" max="6" width="7.3828125" customWidth="1"/>
    <col min="7" max="7" width="9" customWidth="1"/>
    <col min="8" max="8" width="4.3828125" customWidth="1"/>
    <col min="9" max="9" width="3.69140625" customWidth="1"/>
    <col min="10" max="10" width="3" customWidth="1"/>
    <col min="11" max="11" width="5.69140625" customWidth="1"/>
    <col min="12" max="12" width="9.3046875" customWidth="1"/>
    <col min="13" max="13" width="11.3828125" customWidth="1"/>
    <col min="14" max="14" width="5.3828125" customWidth="1"/>
    <col min="15" max="15" width="9.3046875" customWidth="1"/>
    <col min="16" max="16" width="7.69140625" customWidth="1"/>
    <col min="18" max="18" width="16.53515625" customWidth="1"/>
  </cols>
  <sheetData>
    <row r="1" spans="1:30" ht="23.6" thickBot="1" x14ac:dyDescent="0.65">
      <c r="A1" s="40"/>
      <c r="B1" s="41" t="s">
        <v>38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32" t="s">
        <v>35</v>
      </c>
      <c r="N1" s="26"/>
      <c r="O1" s="26"/>
      <c r="P1" s="26"/>
      <c r="Q1" s="26"/>
      <c r="R1" s="27"/>
      <c r="S1" s="28"/>
      <c r="T1" s="28"/>
      <c r="U1" s="28"/>
      <c r="V1" s="40"/>
      <c r="W1" s="40"/>
      <c r="X1" s="40"/>
      <c r="Y1" s="40"/>
      <c r="Z1" s="40"/>
      <c r="AA1" s="40"/>
      <c r="AB1" s="40"/>
      <c r="AC1" s="40"/>
      <c r="AD1" s="40"/>
    </row>
    <row r="2" spans="1:30" ht="16.3" thickBot="1" x14ac:dyDescent="0.5">
      <c r="A2" s="40"/>
      <c r="B2" s="56" t="s">
        <v>41</v>
      </c>
      <c r="C2" s="57">
        <v>1</v>
      </c>
      <c r="D2" s="40"/>
      <c r="E2" s="40"/>
      <c r="F2" s="40"/>
      <c r="G2" s="40"/>
      <c r="H2" s="40"/>
      <c r="I2" s="40"/>
      <c r="J2" s="40"/>
      <c r="K2" s="40"/>
      <c r="L2" s="40"/>
      <c r="M2" s="59" t="s">
        <v>25</v>
      </c>
      <c r="N2" s="39">
        <v>1</v>
      </c>
      <c r="O2" s="39">
        <v>2</v>
      </c>
      <c r="P2" s="39">
        <v>3</v>
      </c>
      <c r="Q2" s="39">
        <v>4</v>
      </c>
      <c r="R2" s="29"/>
      <c r="S2" s="28"/>
      <c r="T2" s="28"/>
      <c r="U2" s="28"/>
      <c r="V2" s="40"/>
      <c r="W2" s="40"/>
      <c r="X2" s="40"/>
      <c r="Y2" s="40"/>
      <c r="Z2" s="40"/>
      <c r="AA2" s="40"/>
      <c r="AB2" s="40"/>
      <c r="AC2" s="40"/>
      <c r="AD2" s="40"/>
    </row>
    <row r="3" spans="1:30" ht="18.45" x14ac:dyDescent="0.5">
      <c r="A3" s="40"/>
      <c r="B3" s="56" t="s">
        <v>3</v>
      </c>
      <c r="C3" s="66" t="str">
        <f>VLOOKUP($C$2,ModelDB[],3,FALSE)</f>
        <v>S.cerevisiae</v>
      </c>
      <c r="D3" s="66"/>
      <c r="E3" s="40"/>
      <c r="F3" s="40"/>
      <c r="G3" s="40"/>
      <c r="H3" s="40"/>
      <c r="I3" s="40"/>
      <c r="J3" s="40"/>
      <c r="K3" s="40"/>
      <c r="L3" s="40"/>
      <c r="M3" s="59" t="s">
        <v>40</v>
      </c>
      <c r="N3" s="39">
        <v>20</v>
      </c>
      <c r="O3" s="61">
        <v>20</v>
      </c>
      <c r="P3" s="62"/>
      <c r="Q3" s="39"/>
      <c r="R3" s="29"/>
      <c r="S3" s="28"/>
      <c r="T3" s="28"/>
      <c r="U3" s="58" t="s">
        <v>44</v>
      </c>
      <c r="V3" s="40"/>
      <c r="W3" s="40"/>
      <c r="X3" s="40"/>
      <c r="Y3" s="40"/>
      <c r="Z3" s="40"/>
      <c r="AA3" s="40"/>
      <c r="AB3" s="40"/>
      <c r="AC3" s="40"/>
      <c r="AD3" s="40"/>
    </row>
    <row r="4" spans="1:30" ht="15" thickBot="1" x14ac:dyDescent="0.4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67" t="s">
        <v>45</v>
      </c>
      <c r="N4" s="68"/>
      <c r="O4" s="68"/>
      <c r="P4" s="68"/>
      <c r="Q4" s="68"/>
      <c r="R4" s="69"/>
      <c r="S4" s="28"/>
      <c r="T4" s="28"/>
      <c r="U4" s="28"/>
      <c r="V4" s="40"/>
      <c r="W4" s="40"/>
      <c r="X4" s="40"/>
      <c r="Y4" s="40"/>
      <c r="Z4" s="40"/>
      <c r="AA4" s="40"/>
      <c r="AB4" s="40"/>
      <c r="AC4" s="40"/>
      <c r="AD4" s="40"/>
    </row>
    <row r="5" spans="1:30" ht="30.75" customHeight="1" thickBot="1" x14ac:dyDescent="0.5">
      <c r="A5" s="40"/>
      <c r="B5" s="45" t="s">
        <v>31</v>
      </c>
      <c r="C5" s="20" t="s">
        <v>39</v>
      </c>
      <c r="D5" s="21" t="s">
        <v>8</v>
      </c>
      <c r="E5" s="40"/>
      <c r="F5" s="22" t="s">
        <v>39</v>
      </c>
      <c r="G5" s="23" t="s">
        <v>29</v>
      </c>
      <c r="H5" s="40"/>
      <c r="L5" s="40"/>
      <c r="M5" s="33" t="s">
        <v>42</v>
      </c>
      <c r="N5" s="30"/>
      <c r="O5" s="34">
        <f>SUM(N3:Q3)</f>
        <v>40</v>
      </c>
      <c r="P5" s="34" t="s">
        <v>17</v>
      </c>
      <c r="Q5" s="30"/>
      <c r="R5" s="31"/>
      <c r="S5" s="28"/>
      <c r="T5" s="28"/>
      <c r="U5" s="28"/>
      <c r="V5" s="40"/>
      <c r="W5" s="40"/>
      <c r="X5" s="40"/>
      <c r="Y5" s="40"/>
      <c r="Z5" s="40"/>
      <c r="AA5" s="40"/>
      <c r="AB5" s="40"/>
      <c r="AC5" s="40"/>
      <c r="AD5" s="40"/>
    </row>
    <row r="6" spans="1:30" x14ac:dyDescent="0.4">
      <c r="A6" s="40"/>
      <c r="C6" s="15">
        <v>0</v>
      </c>
      <c r="D6" s="37">
        <v>0</v>
      </c>
      <c r="E6" s="40"/>
      <c r="F6" s="15">
        <v>0</v>
      </c>
      <c r="G6" s="37">
        <v>500</v>
      </c>
      <c r="H6" s="40"/>
      <c r="K6" s="40"/>
      <c r="L6" s="28"/>
      <c r="M6" s="28"/>
      <c r="N6" s="28"/>
      <c r="O6" s="28"/>
      <c r="P6" s="28"/>
      <c r="Q6" s="28"/>
      <c r="R6" s="28"/>
      <c r="S6" s="28"/>
      <c r="T6" s="28"/>
      <c r="U6" s="28"/>
      <c r="V6" s="40"/>
      <c r="W6" s="40"/>
      <c r="X6" s="40"/>
      <c r="Y6" s="40"/>
      <c r="Z6" s="40"/>
      <c r="AA6" s="40"/>
      <c r="AB6" s="40"/>
      <c r="AC6" s="40"/>
      <c r="AD6" s="40"/>
    </row>
    <row r="7" spans="1:30" x14ac:dyDescent="0.4">
      <c r="A7" s="40"/>
      <c r="B7" s="40"/>
      <c r="C7" s="15">
        <f>C6+$N$3</f>
        <v>20</v>
      </c>
      <c r="D7" s="37">
        <v>0.2</v>
      </c>
      <c r="E7" s="40"/>
      <c r="F7" s="15">
        <f>F6+$N$3</f>
        <v>20</v>
      </c>
      <c r="G7" s="37">
        <v>1000</v>
      </c>
      <c r="H7" s="40"/>
      <c r="I7" s="40"/>
      <c r="J7" s="40"/>
      <c r="K7" s="40"/>
      <c r="L7" s="28"/>
      <c r="M7" s="28"/>
      <c r="N7" s="28"/>
      <c r="O7" s="28"/>
      <c r="P7" s="28"/>
      <c r="Q7" s="28"/>
      <c r="R7" s="28"/>
      <c r="S7" s="28"/>
      <c r="T7" s="28"/>
      <c r="U7" s="28"/>
      <c r="V7" s="40"/>
      <c r="W7" s="40"/>
      <c r="X7" s="40"/>
      <c r="Y7" s="40"/>
      <c r="Z7" s="40"/>
      <c r="AA7" s="40"/>
      <c r="AB7" s="40"/>
      <c r="AC7" s="40"/>
      <c r="AD7" s="40"/>
    </row>
    <row r="8" spans="1:30" outlineLevel="1" x14ac:dyDescent="0.4">
      <c r="A8" s="40"/>
      <c r="B8" s="40"/>
      <c r="C8" s="15">
        <f>C7+$O$3</f>
        <v>40</v>
      </c>
      <c r="D8" s="37"/>
      <c r="E8" s="40"/>
      <c r="F8" s="15">
        <f>F7+$O$3</f>
        <v>40</v>
      </c>
      <c r="G8" s="37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spans="1:30" outlineLevel="1" x14ac:dyDescent="0.4">
      <c r="A9" s="40"/>
      <c r="B9" s="40"/>
      <c r="C9" s="15">
        <f>C8+$P$3</f>
        <v>40</v>
      </c>
      <c r="D9" s="37"/>
      <c r="E9" s="40"/>
      <c r="F9" s="15">
        <f>F8+$P$3</f>
        <v>40</v>
      </c>
      <c r="G9" s="37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0" outlineLevel="1" x14ac:dyDescent="0.4">
      <c r="A10" s="40"/>
      <c r="B10" s="40"/>
      <c r="C10" s="40"/>
      <c r="D10" s="40"/>
      <c r="E10" s="40"/>
      <c r="F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 x14ac:dyDescent="0.4">
      <c r="A11" s="40"/>
      <c r="B11" s="40"/>
      <c r="C11" s="40"/>
      <c r="D11" s="40"/>
      <c r="E11" s="40"/>
      <c r="G11" s="5"/>
      <c r="H11" s="5"/>
      <c r="I11" s="5"/>
      <c r="J11" s="5"/>
      <c r="K11" s="5"/>
      <c r="L11" s="5"/>
      <c r="M11" s="5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</row>
    <row r="12" spans="1:30" ht="16.3" thickBot="1" x14ac:dyDescent="0.45">
      <c r="A12" s="40"/>
      <c r="B12" s="40"/>
      <c r="C12" s="40"/>
      <c r="D12" s="40"/>
      <c r="E12" s="40"/>
      <c r="F12" s="5"/>
      <c r="G12" s="5"/>
      <c r="H12" s="5"/>
      <c r="I12" s="5"/>
      <c r="J12" s="5"/>
      <c r="K12" s="5"/>
      <c r="L12" s="5"/>
      <c r="M12" s="5"/>
      <c r="N12" s="5"/>
      <c r="O12" s="40"/>
      <c r="P12" s="40"/>
      <c r="Q12" s="40"/>
      <c r="R12" s="66" t="str">
        <f>VLOOKUP($C$2,ModelDB[],4,FALSE)</f>
        <v>Glucose</v>
      </c>
      <c r="S12" s="66"/>
      <c r="T12" s="40"/>
      <c r="U12" s="28"/>
      <c r="V12" s="28"/>
      <c r="W12" s="28"/>
      <c r="X12" s="28"/>
      <c r="Y12" s="28"/>
      <c r="Z12" s="40"/>
      <c r="AA12" s="40"/>
      <c r="AB12" s="40"/>
      <c r="AC12" s="40"/>
      <c r="AD12" s="40"/>
    </row>
    <row r="13" spans="1:30" ht="30" thickBot="1" x14ac:dyDescent="0.5">
      <c r="A13" s="40"/>
      <c r="C13" s="40"/>
      <c r="D13" s="40"/>
      <c r="E13" s="40"/>
      <c r="F13" s="5"/>
      <c r="G13" s="5"/>
      <c r="H13" s="5"/>
      <c r="I13" s="5"/>
      <c r="J13" s="5"/>
      <c r="K13" s="9"/>
      <c r="L13" s="5"/>
      <c r="M13" s="5"/>
      <c r="N13" s="5"/>
      <c r="O13" s="40"/>
      <c r="P13" s="35" t="s">
        <v>39</v>
      </c>
      <c r="Q13" s="36" t="s">
        <v>33</v>
      </c>
      <c r="R13" s="36" t="s">
        <v>34</v>
      </c>
      <c r="S13" s="40"/>
      <c r="T13" s="40"/>
      <c r="U13" s="28"/>
      <c r="V13" s="28"/>
      <c r="W13" s="28"/>
      <c r="X13" s="28"/>
      <c r="Y13" s="28"/>
      <c r="Z13" s="40"/>
      <c r="AA13" s="40"/>
      <c r="AB13" s="40"/>
      <c r="AC13" s="40"/>
      <c r="AD13" s="40"/>
    </row>
    <row r="14" spans="1:30" ht="18.45" x14ac:dyDescent="0.5">
      <c r="A14" s="40"/>
      <c r="B14" s="45" t="s">
        <v>30</v>
      </c>
      <c r="C14" s="20" t="s">
        <v>39</v>
      </c>
      <c r="D14" s="21" t="s">
        <v>89</v>
      </c>
      <c r="E14" s="40"/>
      <c r="F14" s="5"/>
      <c r="G14" s="5"/>
      <c r="H14" s="5"/>
      <c r="I14" s="5"/>
      <c r="J14" s="5"/>
      <c r="K14" s="18" t="s">
        <v>36</v>
      </c>
      <c r="L14" s="5"/>
      <c r="M14" s="5"/>
      <c r="N14" s="5"/>
      <c r="O14" s="40"/>
      <c r="P14" s="15">
        <v>0</v>
      </c>
      <c r="Q14" s="37">
        <v>5</v>
      </c>
      <c r="R14" s="37"/>
      <c r="S14" s="40"/>
      <c r="T14" s="40"/>
      <c r="U14" s="28"/>
      <c r="V14" s="28"/>
      <c r="W14" s="28"/>
      <c r="X14" s="28"/>
      <c r="Y14" s="28"/>
      <c r="Z14" s="40"/>
      <c r="AA14" s="40"/>
      <c r="AB14" s="40"/>
      <c r="AC14" s="40"/>
      <c r="AD14" s="40"/>
    </row>
    <row r="15" spans="1:30" ht="18" thickBot="1" x14ac:dyDescent="0.6">
      <c r="A15" s="40"/>
      <c r="B15" s="40"/>
      <c r="C15" s="15">
        <v>0</v>
      </c>
      <c r="D15" s="37">
        <v>80</v>
      </c>
      <c r="E15" s="40"/>
      <c r="F15" s="5"/>
      <c r="G15" s="6" t="s">
        <v>22</v>
      </c>
      <c r="H15" s="6"/>
      <c r="I15" s="7">
        <v>1</v>
      </c>
      <c r="J15" s="8"/>
      <c r="K15" s="9" t="s">
        <v>6</v>
      </c>
      <c r="L15" s="55">
        <v>30</v>
      </c>
      <c r="M15" s="13" t="s">
        <v>24</v>
      </c>
      <c r="N15" s="5"/>
      <c r="O15" s="40"/>
      <c r="P15" s="15">
        <f>P14+$N$3</f>
        <v>20</v>
      </c>
      <c r="Q15" s="37"/>
      <c r="R15" s="37">
        <v>4</v>
      </c>
      <c r="S15" s="40"/>
      <c r="T15" s="40"/>
      <c r="U15" s="28"/>
      <c r="V15" s="28"/>
      <c r="W15" s="28"/>
      <c r="X15" s="28"/>
      <c r="Y15" s="28"/>
      <c r="Z15" s="40"/>
      <c r="AA15" s="40"/>
      <c r="AB15" s="40"/>
      <c r="AC15" s="40"/>
      <c r="AD15" s="40"/>
    </row>
    <row r="16" spans="1:30" ht="21" customHeight="1" thickBot="1" x14ac:dyDescent="0.6">
      <c r="A16" s="40"/>
      <c r="B16" s="40"/>
      <c r="C16" s="15">
        <f>C15+$N$3</f>
        <v>20</v>
      </c>
      <c r="D16" s="37">
        <v>100</v>
      </c>
      <c r="E16" s="40"/>
      <c r="F16" s="5"/>
      <c r="G16" s="12">
        <f>50</f>
        <v>50</v>
      </c>
      <c r="H16" s="10" t="s">
        <v>23</v>
      </c>
      <c r="I16" s="7">
        <v>2</v>
      </c>
      <c r="J16" s="8"/>
      <c r="K16" s="9" t="s">
        <v>20</v>
      </c>
      <c r="L16" s="55">
        <v>6.5</v>
      </c>
      <c r="M16" s="14"/>
      <c r="N16" s="5"/>
      <c r="O16" s="40"/>
      <c r="P16" s="15">
        <f>P15+$O$3</f>
        <v>40</v>
      </c>
      <c r="Q16" s="37"/>
      <c r="R16" s="37"/>
      <c r="S16" s="40"/>
      <c r="T16" s="40"/>
      <c r="U16" s="28"/>
      <c r="V16" s="28"/>
      <c r="W16" s="28"/>
      <c r="X16" s="28"/>
      <c r="Y16" s="28"/>
      <c r="Z16" s="40"/>
      <c r="AA16" s="40"/>
      <c r="AB16" s="40"/>
      <c r="AC16" s="40"/>
      <c r="AD16" s="40"/>
    </row>
    <row r="17" spans="1:30" ht="16.3" thickBot="1" x14ac:dyDescent="0.5">
      <c r="A17" s="40"/>
      <c r="B17" s="40"/>
      <c r="C17" s="15">
        <f>C16+$O$3</f>
        <v>40</v>
      </c>
      <c r="D17" s="37"/>
      <c r="E17" s="40"/>
      <c r="F17" s="5"/>
      <c r="G17" s="6"/>
      <c r="H17" s="6"/>
      <c r="I17" s="7">
        <v>3</v>
      </c>
      <c r="J17" s="8"/>
      <c r="K17" s="5"/>
      <c r="L17" s="5"/>
      <c r="M17" s="5"/>
      <c r="N17" s="5"/>
      <c r="O17" s="40"/>
      <c r="P17" s="15">
        <f>P16+$P$3</f>
        <v>40</v>
      </c>
      <c r="Q17" s="38"/>
      <c r="R17" s="37"/>
      <c r="S17" s="40"/>
      <c r="T17" s="40"/>
      <c r="U17" s="28"/>
      <c r="V17" s="28"/>
      <c r="W17" s="28"/>
      <c r="X17" s="28"/>
      <c r="Y17" s="28"/>
      <c r="Z17" s="40"/>
      <c r="AA17" s="40"/>
      <c r="AB17" s="40"/>
      <c r="AC17" s="40"/>
      <c r="AD17" s="40"/>
    </row>
    <row r="18" spans="1:30" ht="18" thickBot="1" x14ac:dyDescent="0.6">
      <c r="A18" s="40"/>
      <c r="B18" s="40"/>
      <c r="C18" s="15">
        <f>C17+$P$3</f>
        <v>40</v>
      </c>
      <c r="D18" s="37"/>
      <c r="E18" s="40"/>
      <c r="F18" s="5"/>
      <c r="G18" s="6" t="s">
        <v>21</v>
      </c>
      <c r="H18" s="5"/>
      <c r="I18" s="7">
        <v>4</v>
      </c>
      <c r="J18" s="8"/>
      <c r="K18" s="9"/>
      <c r="L18" s="19"/>
      <c r="M18" s="19"/>
      <c r="N18" s="5"/>
      <c r="O18" s="40"/>
      <c r="P18" s="49" t="s">
        <v>42</v>
      </c>
      <c r="Q18" s="50">
        <f>SUM(Q14:Q17)</f>
        <v>5</v>
      </c>
      <c r="R18" s="51">
        <f>SUMPRODUCT(Input_Array!D4:D7,Input_Array!H4:H7)</f>
        <v>80</v>
      </c>
      <c r="S18" s="42"/>
      <c r="T18" s="42"/>
      <c r="U18" s="47"/>
      <c r="V18" s="47"/>
      <c r="W18" s="47"/>
      <c r="X18" s="47"/>
      <c r="Y18" s="28"/>
      <c r="Z18" s="40"/>
      <c r="AA18" s="40"/>
      <c r="AB18" s="40"/>
      <c r="AC18" s="40"/>
      <c r="AD18" s="40"/>
    </row>
    <row r="19" spans="1:30" ht="21" thickBot="1" x14ac:dyDescent="0.6">
      <c r="A19" s="40"/>
      <c r="B19" s="40"/>
      <c r="C19" s="40"/>
      <c r="D19" s="40"/>
      <c r="E19" s="40"/>
      <c r="F19" s="5"/>
      <c r="G19" s="54">
        <v>100</v>
      </c>
      <c r="H19" s="10" t="s">
        <v>23</v>
      </c>
      <c r="I19" s="7">
        <v>5</v>
      </c>
      <c r="J19" s="8"/>
      <c r="K19" s="18" t="s">
        <v>32</v>
      </c>
      <c r="L19" s="8"/>
      <c r="M19" s="8"/>
      <c r="N19" s="5"/>
      <c r="O19" s="40"/>
      <c r="P19" s="42"/>
      <c r="Q19" s="43"/>
      <c r="R19" s="46"/>
      <c r="S19" s="43"/>
      <c r="T19" s="43"/>
      <c r="U19" s="48"/>
      <c r="V19" s="48"/>
      <c r="W19" s="48"/>
      <c r="X19" s="48"/>
      <c r="Y19" s="28"/>
      <c r="Z19" s="40"/>
      <c r="AA19" s="40"/>
      <c r="AB19" s="40"/>
      <c r="AC19" s="40"/>
      <c r="AD19" s="40"/>
    </row>
    <row r="20" spans="1:30" ht="16.3" thickBot="1" x14ac:dyDescent="0.45">
      <c r="A20" s="40"/>
      <c r="B20" s="40"/>
      <c r="C20" s="40"/>
      <c r="D20" s="40"/>
      <c r="E20" s="40"/>
      <c r="F20" s="5"/>
      <c r="G20" s="11"/>
      <c r="H20" s="11"/>
      <c r="I20" s="7">
        <v>6</v>
      </c>
      <c r="J20" s="8"/>
      <c r="K20" s="16"/>
      <c r="L20" s="5"/>
      <c r="M20" s="5"/>
      <c r="N20" s="5"/>
      <c r="O20" s="40"/>
      <c r="P20" s="40"/>
      <c r="Q20" s="40"/>
      <c r="R20" s="66" t="str">
        <f>VLOOKUP($C$2,ModelDB[],5,FALSE)</f>
        <v>(NH4)2SO4</v>
      </c>
      <c r="S20" s="66"/>
      <c r="T20" s="40"/>
      <c r="U20" s="28"/>
      <c r="V20" s="28"/>
      <c r="W20" s="28"/>
      <c r="X20" s="28"/>
      <c r="Y20" s="28"/>
      <c r="Z20" s="40"/>
      <c r="AA20" s="40"/>
      <c r="AB20" s="40"/>
      <c r="AC20" s="40"/>
      <c r="AD20" s="40"/>
    </row>
    <row r="21" spans="1:30" ht="16.3" thickBot="1" x14ac:dyDescent="0.5">
      <c r="A21" s="40"/>
      <c r="B21" s="40"/>
      <c r="C21" s="40"/>
      <c r="D21" s="40"/>
      <c r="E21" s="40"/>
      <c r="F21" s="5"/>
      <c r="G21" s="11"/>
      <c r="H21" s="11"/>
      <c r="I21" s="7">
        <v>7</v>
      </c>
      <c r="J21" s="8"/>
      <c r="K21" s="9" t="s">
        <v>37</v>
      </c>
      <c r="L21" s="55">
        <v>0.1</v>
      </c>
      <c r="M21" s="13" t="s">
        <v>9</v>
      </c>
      <c r="N21" s="5"/>
      <c r="O21" s="40"/>
      <c r="P21" s="24" t="s">
        <v>39</v>
      </c>
      <c r="Q21" s="25" t="s">
        <v>33</v>
      </c>
      <c r="R21" s="52"/>
      <c r="S21" s="40"/>
      <c r="T21" s="40"/>
      <c r="U21" s="28"/>
      <c r="V21" s="28"/>
      <c r="W21" s="28"/>
      <c r="X21" s="28"/>
      <c r="Y21" s="28"/>
      <c r="Z21" s="40"/>
      <c r="AA21" s="40"/>
      <c r="AB21" s="40"/>
      <c r="AC21" s="40"/>
      <c r="AD21" s="40"/>
    </row>
    <row r="22" spans="1:30" ht="30" customHeight="1" thickBot="1" x14ac:dyDescent="0.5">
      <c r="A22" s="40"/>
      <c r="B22" s="40"/>
      <c r="C22" s="40"/>
      <c r="D22" s="40"/>
      <c r="E22" s="40"/>
      <c r="F22" s="5"/>
      <c r="G22" s="5"/>
      <c r="H22" s="5"/>
      <c r="I22" s="7">
        <v>8</v>
      </c>
      <c r="J22" s="8"/>
      <c r="K22" s="9" t="s">
        <v>26</v>
      </c>
      <c r="L22" s="55">
        <v>100</v>
      </c>
      <c r="M22" s="14" t="s">
        <v>27</v>
      </c>
      <c r="N22" s="5"/>
      <c r="O22" s="40"/>
      <c r="P22" s="15">
        <v>0</v>
      </c>
      <c r="Q22" s="37">
        <v>5</v>
      </c>
      <c r="R22" s="28"/>
      <c r="S22" s="40"/>
      <c r="T22" s="40"/>
      <c r="U22" s="28"/>
      <c r="V22" s="28"/>
      <c r="W22" s="28"/>
      <c r="X22" s="28"/>
      <c r="Y22" s="28"/>
      <c r="Z22" s="40"/>
      <c r="AA22" s="40"/>
      <c r="AB22" s="40"/>
      <c r="AC22" s="40"/>
      <c r="AD22" s="40"/>
    </row>
    <row r="23" spans="1:30" ht="18.45" x14ac:dyDescent="0.5">
      <c r="A23" s="40"/>
      <c r="B23" s="17" t="s">
        <v>43</v>
      </c>
      <c r="C23" s="66" t="str">
        <f>VLOOKUP($C$2,ModelDB[],6,FALSE)</f>
        <v>Ethanol</v>
      </c>
      <c r="D23" s="66"/>
      <c r="E23" s="40"/>
      <c r="F23" s="5"/>
      <c r="G23" s="5"/>
      <c r="H23" s="5"/>
      <c r="I23" s="7">
        <v>9</v>
      </c>
      <c r="J23" s="8"/>
      <c r="K23" s="5"/>
      <c r="L23" s="5"/>
      <c r="M23" s="5"/>
      <c r="N23" s="5"/>
      <c r="O23" s="40"/>
      <c r="P23" s="15">
        <f>P22+$N$3</f>
        <v>20</v>
      </c>
      <c r="Q23" s="37">
        <v>10</v>
      </c>
      <c r="R23" s="28"/>
      <c r="S23" s="40"/>
      <c r="T23" s="40"/>
      <c r="U23" s="28"/>
      <c r="V23" s="28"/>
      <c r="W23" s="28"/>
      <c r="X23" s="28"/>
      <c r="Y23" s="28"/>
      <c r="Z23" s="40"/>
      <c r="AA23" s="40"/>
      <c r="AB23" s="40"/>
      <c r="AC23" s="40"/>
      <c r="AD23" s="40"/>
    </row>
    <row r="24" spans="1:30" ht="13.5" customHeight="1" x14ac:dyDescent="0.4">
      <c r="A24" s="40"/>
      <c r="C24" s="40"/>
      <c r="D24" s="40"/>
      <c r="E24" s="40"/>
      <c r="F24" s="5"/>
      <c r="G24" s="5"/>
      <c r="H24" s="5"/>
      <c r="I24" s="7">
        <v>10</v>
      </c>
      <c r="J24" s="8"/>
      <c r="K24" s="5"/>
      <c r="L24" s="5"/>
      <c r="M24" s="5"/>
      <c r="N24" s="5"/>
      <c r="O24" s="40"/>
      <c r="P24" s="15">
        <f>P23+$O$3</f>
        <v>40</v>
      </c>
      <c r="Q24" s="37"/>
      <c r="R24" s="28"/>
      <c r="S24" s="40"/>
      <c r="T24" s="40"/>
      <c r="U24" s="28"/>
      <c r="V24" s="28"/>
      <c r="W24" s="28"/>
      <c r="X24" s="28"/>
      <c r="Y24" s="28"/>
      <c r="Z24" s="40"/>
      <c r="AA24" s="40"/>
      <c r="AB24" s="40"/>
      <c r="AC24" s="40"/>
      <c r="AD24" s="40"/>
    </row>
    <row r="25" spans="1:30" ht="15" thickBot="1" x14ac:dyDescent="0.45">
      <c r="A25" s="40"/>
      <c r="B25" s="40"/>
      <c r="C25" s="40"/>
      <c r="D25" s="40"/>
      <c r="E25" s="40"/>
      <c r="F25" s="5"/>
      <c r="G25" s="5"/>
      <c r="H25" s="5"/>
      <c r="I25" s="7">
        <v>11</v>
      </c>
      <c r="J25" s="8"/>
      <c r="K25" s="5"/>
      <c r="L25" s="5"/>
      <c r="M25" s="5"/>
      <c r="N25" s="5"/>
      <c r="O25" s="40"/>
      <c r="P25" s="53">
        <f>P24+$P$3</f>
        <v>40</v>
      </c>
      <c r="Q25" s="38"/>
      <c r="R25" s="28"/>
      <c r="S25" s="40"/>
      <c r="T25" s="40"/>
      <c r="U25" s="28"/>
      <c r="V25" s="28"/>
      <c r="W25" s="28"/>
      <c r="X25" s="28"/>
      <c r="Y25" s="28"/>
      <c r="Z25" s="40"/>
      <c r="AA25" s="40"/>
      <c r="AB25" s="40"/>
      <c r="AC25" s="40"/>
      <c r="AD25" s="40"/>
    </row>
    <row r="26" spans="1:30" ht="15" thickBot="1" x14ac:dyDescent="0.45">
      <c r="A26" s="40"/>
      <c r="B26" s="40"/>
      <c r="C26" s="40"/>
      <c r="D26" s="40"/>
      <c r="E26" s="40"/>
      <c r="F26" s="5"/>
      <c r="G26" s="5"/>
      <c r="H26" s="5"/>
      <c r="I26" s="7">
        <v>12</v>
      </c>
      <c r="J26" s="8"/>
      <c r="K26" s="5"/>
      <c r="L26" s="5"/>
      <c r="M26" s="5"/>
      <c r="N26" s="5"/>
      <c r="O26" s="40"/>
      <c r="P26" s="49" t="s">
        <v>42</v>
      </c>
      <c r="Q26" s="50">
        <f>SUM(Q22:Q25)</f>
        <v>15</v>
      </c>
      <c r="R26" s="28"/>
      <c r="S26" s="40"/>
      <c r="T26" s="40"/>
      <c r="U26" s="28"/>
      <c r="V26" s="28"/>
      <c r="W26" s="28"/>
      <c r="X26" s="28"/>
      <c r="Y26" s="28"/>
      <c r="Z26" s="40"/>
      <c r="AA26" s="40"/>
      <c r="AB26" s="40"/>
      <c r="AC26" s="40"/>
      <c r="AD26" s="40"/>
    </row>
    <row r="27" spans="1:30" x14ac:dyDescent="0.4">
      <c r="A27" s="40"/>
      <c r="B27" s="40"/>
      <c r="C27" s="40"/>
      <c r="D27" s="40"/>
      <c r="E27" s="40"/>
      <c r="F27" s="5"/>
      <c r="G27" s="5"/>
      <c r="H27" s="5"/>
      <c r="I27" s="7">
        <v>13</v>
      </c>
      <c r="J27" s="8"/>
      <c r="K27" s="5"/>
      <c r="L27" s="5"/>
      <c r="M27" s="5"/>
      <c r="N27" s="5"/>
      <c r="O27" s="40"/>
      <c r="P27" s="40"/>
      <c r="Q27" s="40"/>
      <c r="R27" s="40"/>
      <c r="S27" s="40"/>
      <c r="T27" s="40"/>
      <c r="U27" s="28"/>
      <c r="V27" s="28"/>
      <c r="W27" s="28"/>
      <c r="X27" s="28"/>
      <c r="Y27" s="28"/>
      <c r="Z27" s="40"/>
      <c r="AA27" s="40"/>
      <c r="AB27" s="40"/>
      <c r="AC27" s="40"/>
      <c r="AD27" s="40"/>
    </row>
    <row r="28" spans="1:30" ht="18.45" x14ac:dyDescent="0.5">
      <c r="A28" s="40"/>
      <c r="B28" s="44"/>
      <c r="C28" s="40"/>
      <c r="D28" s="40"/>
      <c r="E28" s="40"/>
      <c r="F28" s="5"/>
      <c r="G28" s="5"/>
      <c r="H28" s="5"/>
      <c r="I28" s="7">
        <v>14</v>
      </c>
      <c r="J28" s="8"/>
      <c r="K28" s="5"/>
      <c r="L28" s="5"/>
      <c r="M28" s="5"/>
      <c r="N28" s="5"/>
      <c r="O28" s="40"/>
      <c r="P28" s="40"/>
      <c r="Q28" s="40"/>
      <c r="R28" s="40"/>
      <c r="S28" s="40"/>
      <c r="T28" s="40"/>
      <c r="U28" s="28"/>
      <c r="V28" s="28"/>
      <c r="W28" s="28"/>
      <c r="X28" s="28"/>
      <c r="Y28" s="28"/>
      <c r="Z28" s="40"/>
      <c r="AA28" s="40"/>
      <c r="AB28" s="40"/>
      <c r="AC28" s="40"/>
      <c r="AD28" s="40"/>
    </row>
    <row r="29" spans="1:30" x14ac:dyDescent="0.4">
      <c r="A29" s="40"/>
      <c r="B29" s="40"/>
      <c r="C29" s="40"/>
      <c r="D29" s="40"/>
      <c r="E29" s="40"/>
      <c r="F29" s="5"/>
      <c r="G29" s="5"/>
      <c r="H29" s="5"/>
      <c r="I29" s="7">
        <v>15</v>
      </c>
      <c r="J29" s="8"/>
      <c r="K29" s="5"/>
      <c r="L29" s="5"/>
      <c r="M29" s="5"/>
      <c r="N29" s="5"/>
      <c r="O29" s="40"/>
      <c r="P29" s="40"/>
      <c r="Q29" s="40"/>
      <c r="R29" s="40"/>
      <c r="S29" s="40"/>
      <c r="T29" s="40"/>
      <c r="U29" s="28"/>
      <c r="V29" s="28"/>
      <c r="W29" s="28"/>
      <c r="X29" s="28"/>
      <c r="Y29" s="28"/>
      <c r="Z29" s="40"/>
      <c r="AA29" s="40"/>
      <c r="AB29" s="40"/>
      <c r="AC29" s="40"/>
      <c r="AD29" s="40"/>
    </row>
    <row r="30" spans="1:30" x14ac:dyDescent="0.4">
      <c r="A30" s="40"/>
      <c r="B30" s="40"/>
      <c r="C30" s="40"/>
      <c r="D30" s="40"/>
      <c r="E30" s="40"/>
      <c r="G30" s="5"/>
      <c r="H30" s="5"/>
      <c r="I30" s="5"/>
      <c r="J30" s="5"/>
      <c r="K30" s="5"/>
      <c r="L30" s="5"/>
      <c r="M30" s="5"/>
      <c r="O30" s="40"/>
      <c r="P30" s="40"/>
      <c r="Q30" s="40"/>
      <c r="R30" s="40"/>
      <c r="S30" s="40"/>
      <c r="T30" s="40"/>
      <c r="U30" s="28"/>
      <c r="V30" s="28"/>
      <c r="W30" s="28"/>
      <c r="X30" s="28"/>
      <c r="Y30" s="28"/>
      <c r="Z30" s="40"/>
      <c r="AA30" s="40"/>
      <c r="AB30" s="40"/>
      <c r="AC30" s="40"/>
      <c r="AD30" s="40"/>
    </row>
    <row r="31" spans="1:30" x14ac:dyDescent="0.4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28"/>
      <c r="V31" s="28"/>
      <c r="W31" s="28"/>
      <c r="X31" s="28"/>
      <c r="Y31" s="28"/>
      <c r="Z31" s="40"/>
      <c r="AA31" s="40"/>
      <c r="AB31" s="40"/>
      <c r="AC31" s="40"/>
      <c r="AD31" s="40"/>
    </row>
    <row r="32" spans="1:30" x14ac:dyDescent="0.4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28"/>
      <c r="V32" s="28"/>
      <c r="W32" s="28"/>
      <c r="X32" s="28"/>
      <c r="Y32" s="28"/>
      <c r="Z32" s="40"/>
      <c r="AA32" s="40"/>
      <c r="AB32" s="40"/>
      <c r="AC32" s="40"/>
      <c r="AD32" s="40"/>
    </row>
    <row r="33" spans="1:30" x14ac:dyDescent="0.4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28"/>
      <c r="V33" s="28"/>
      <c r="W33" s="28"/>
      <c r="X33" s="28"/>
      <c r="Y33" s="28"/>
      <c r="Z33" s="40"/>
      <c r="AA33" s="40"/>
      <c r="AB33" s="40"/>
      <c r="AC33" s="40"/>
      <c r="AD33" s="40"/>
    </row>
    <row r="34" spans="1:30" x14ac:dyDescent="0.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28"/>
      <c r="V34" s="28"/>
      <c r="W34" s="28"/>
      <c r="X34" s="28"/>
      <c r="Y34" s="28"/>
      <c r="Z34" s="40"/>
      <c r="AA34" s="40"/>
      <c r="AB34" s="40"/>
      <c r="AC34" s="40"/>
      <c r="AD34" s="40"/>
    </row>
    <row r="35" spans="1:30" x14ac:dyDescent="0.4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28"/>
      <c r="V35" s="28"/>
      <c r="W35" s="28"/>
      <c r="X35" s="28"/>
      <c r="Y35" s="28"/>
      <c r="Z35" s="40"/>
      <c r="AA35" s="40"/>
      <c r="AB35" s="40"/>
      <c r="AC35" s="40"/>
      <c r="AD35" s="40"/>
    </row>
    <row r="36" spans="1:30" x14ac:dyDescent="0.4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28"/>
      <c r="V36" s="28"/>
      <c r="W36" s="28"/>
      <c r="X36" s="28"/>
      <c r="Y36" s="28"/>
      <c r="Z36" s="40"/>
      <c r="AA36" s="40"/>
      <c r="AB36" s="40"/>
      <c r="AC36" s="40"/>
      <c r="AD36" s="40"/>
    </row>
    <row r="37" spans="1:30" x14ac:dyDescent="0.4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</row>
    <row r="38" spans="1:30" x14ac:dyDescent="0.4">
      <c r="U38" s="40"/>
      <c r="V38" s="40"/>
      <c r="W38" s="40"/>
      <c r="X38" s="40"/>
      <c r="Y38" s="40"/>
      <c r="Z38" s="40"/>
      <c r="AA38" s="40"/>
      <c r="AB38" s="40"/>
      <c r="AC38" s="40"/>
      <c r="AD38" s="40"/>
    </row>
    <row r="39" spans="1:30" x14ac:dyDescent="0.4">
      <c r="U39" s="40"/>
      <c r="V39" s="40"/>
      <c r="W39" s="40"/>
      <c r="X39" s="40"/>
      <c r="Y39" s="40"/>
      <c r="Z39" s="40"/>
      <c r="AA39" s="40"/>
      <c r="AB39" s="40"/>
      <c r="AC39" s="40"/>
      <c r="AD39" s="40"/>
    </row>
  </sheetData>
  <mergeCells count="5">
    <mergeCell ref="C3:D3"/>
    <mergeCell ref="C23:D23"/>
    <mergeCell ref="M4:R4"/>
    <mergeCell ref="R12:S12"/>
    <mergeCell ref="R20:S20"/>
  </mergeCells>
  <pageMargins left="0.7" right="0.7" top="0.78740157499999996" bottom="0.78740157499999996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A845C8-0069-4040-B361-709B9217A00E}">
          <x14:formula1>
            <xm:f>Input_Array!$A$39:$A$42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EF7D-A343-4D00-BDC4-8E8C5E795D32}">
  <dimension ref="A1:AA42"/>
  <sheetViews>
    <sheetView workbookViewId="0">
      <selection activeCell="A33" sqref="A33"/>
    </sheetView>
  </sheetViews>
  <sheetFormatPr baseColWidth="10" defaultRowHeight="14.6" x14ac:dyDescent="0.4"/>
  <cols>
    <col min="2" max="2" width="32.53515625" bestFit="1" customWidth="1"/>
    <col min="3" max="3" width="17.3828125" customWidth="1"/>
    <col min="21" max="21" width="27.15234375" customWidth="1"/>
    <col min="22" max="22" width="24.3828125" customWidth="1"/>
    <col min="24" max="24" width="16.84375" bestFit="1" customWidth="1"/>
    <col min="25" max="25" width="29.15234375" customWidth="1"/>
  </cols>
  <sheetData>
    <row r="1" spans="1:17" x14ac:dyDescent="0.4">
      <c r="A1" s="4" t="s">
        <v>68</v>
      </c>
      <c r="B1" s="3"/>
      <c r="C1" s="3"/>
    </row>
    <row r="2" spans="1:17" x14ac:dyDescent="0.4">
      <c r="A2" s="3"/>
      <c r="B2" s="3"/>
      <c r="C2" s="3"/>
    </row>
    <row r="3" spans="1:17" x14ac:dyDescent="0.4">
      <c r="A3" s="3" t="s">
        <v>25</v>
      </c>
      <c r="B3" t="s">
        <v>90</v>
      </c>
      <c r="C3" t="s">
        <v>60</v>
      </c>
      <c r="D3" t="s">
        <v>61</v>
      </c>
      <c r="E3" t="s">
        <v>62</v>
      </c>
      <c r="F3" t="s">
        <v>18</v>
      </c>
      <c r="G3" t="s">
        <v>31</v>
      </c>
      <c r="H3" t="s">
        <v>69</v>
      </c>
      <c r="I3" t="s">
        <v>50</v>
      </c>
      <c r="J3" t="s">
        <v>6</v>
      </c>
      <c r="K3" t="s">
        <v>20</v>
      </c>
      <c r="L3" t="s">
        <v>26</v>
      </c>
      <c r="M3" t="s">
        <v>67</v>
      </c>
      <c r="N3" t="s">
        <v>51</v>
      </c>
      <c r="O3" t="s">
        <v>86</v>
      </c>
      <c r="P3" t="s">
        <v>87</v>
      </c>
      <c r="Q3" t="s">
        <v>88</v>
      </c>
    </row>
    <row r="4" spans="1:17" x14ac:dyDescent="0.4">
      <c r="A4" s="3">
        <v>1</v>
      </c>
      <c r="B4">
        <f>Hübsch!D15</f>
        <v>80</v>
      </c>
      <c r="C4" cm="1">
        <f t="array" ref="C4:C7">Hübsch!Q14:Q17</f>
        <v>5</v>
      </c>
      <c r="D4">
        <f>Hübsch!R14</f>
        <v>0</v>
      </c>
      <c r="E4">
        <f>Hübsch!Q22</f>
        <v>5</v>
      </c>
      <c r="F4">
        <f>Hübsch!G6</f>
        <v>500</v>
      </c>
      <c r="G4">
        <f>Hübsch!D6</f>
        <v>0</v>
      </c>
      <c r="H4">
        <f>Hübsch!N3</f>
        <v>20</v>
      </c>
      <c r="I4">
        <f>Hübsch!$G$19</f>
        <v>100</v>
      </c>
      <c r="J4">
        <f>Hübsch!$L$15</f>
        <v>30</v>
      </c>
      <c r="K4">
        <f>Hübsch!$L$16</f>
        <v>6.5</v>
      </c>
      <c r="L4">
        <f>Hübsch!L22</f>
        <v>100</v>
      </c>
      <c r="N4">
        <f>Hübsch!L21</f>
        <v>0.1</v>
      </c>
      <c r="O4">
        <v>0</v>
      </c>
      <c r="Q4">
        <f>Hübsch!C2</f>
        <v>1</v>
      </c>
    </row>
    <row r="5" spans="1:17" x14ac:dyDescent="0.4">
      <c r="A5" s="3">
        <v>2</v>
      </c>
      <c r="B5">
        <f>Hübsch!D16</f>
        <v>100</v>
      </c>
      <c r="C5">
        <v>0</v>
      </c>
      <c r="D5">
        <f>Hübsch!R15</f>
        <v>4</v>
      </c>
      <c r="E5">
        <f>Hübsch!Q23</f>
        <v>10</v>
      </c>
      <c r="F5">
        <f>Hübsch!G7</f>
        <v>1000</v>
      </c>
      <c r="G5">
        <f>Hübsch!D7</f>
        <v>0.2</v>
      </c>
      <c r="H5">
        <f>Hübsch!O3</f>
        <v>20</v>
      </c>
      <c r="I5">
        <f>Hübsch!$G$19</f>
        <v>100</v>
      </c>
      <c r="J5">
        <f>Hübsch!$L$15</f>
        <v>30</v>
      </c>
      <c r="K5">
        <f>Hübsch!$L$16</f>
        <v>6.5</v>
      </c>
      <c r="L5" s="64"/>
      <c r="N5" s="64"/>
      <c r="O5">
        <v>0</v>
      </c>
      <c r="Q5" s="64"/>
    </row>
    <row r="6" spans="1:17" x14ac:dyDescent="0.4">
      <c r="A6" s="3">
        <v>3</v>
      </c>
      <c r="B6">
        <f>Hübsch!D17</f>
        <v>0</v>
      </c>
      <c r="C6">
        <v>0</v>
      </c>
      <c r="D6">
        <f>Hübsch!R16</f>
        <v>0</v>
      </c>
      <c r="E6">
        <f>Hübsch!Q24</f>
        <v>0</v>
      </c>
      <c r="F6">
        <f>Hübsch!G8</f>
        <v>0</v>
      </c>
      <c r="G6">
        <f>Hübsch!D8</f>
        <v>0</v>
      </c>
      <c r="H6">
        <f>Hübsch!P3</f>
        <v>0</v>
      </c>
      <c r="I6">
        <f>Hübsch!$G$19</f>
        <v>100</v>
      </c>
      <c r="J6">
        <f>Hübsch!$L$15</f>
        <v>30</v>
      </c>
      <c r="K6">
        <f>Hübsch!$L$16</f>
        <v>6.5</v>
      </c>
      <c r="L6" s="64"/>
      <c r="N6" s="64"/>
      <c r="O6">
        <v>0</v>
      </c>
      <c r="Q6" s="64"/>
    </row>
    <row r="7" spans="1:17" x14ac:dyDescent="0.4">
      <c r="A7" s="60">
        <v>4</v>
      </c>
      <c r="B7">
        <f>Hübsch!D18</f>
        <v>0</v>
      </c>
      <c r="C7">
        <v>0</v>
      </c>
      <c r="D7">
        <f>Hübsch!R17</f>
        <v>0</v>
      </c>
      <c r="E7">
        <f>Hübsch!Q25</f>
        <v>0</v>
      </c>
      <c r="F7">
        <f>Hübsch!G9</f>
        <v>0</v>
      </c>
      <c r="G7">
        <f>Hübsch!D9</f>
        <v>0</v>
      </c>
      <c r="H7">
        <f>Hübsch!Q3</f>
        <v>0</v>
      </c>
      <c r="I7">
        <f>Hübsch!$G$19</f>
        <v>100</v>
      </c>
      <c r="J7">
        <f>Hübsch!$L$15</f>
        <v>30</v>
      </c>
      <c r="K7">
        <f>Hübsch!$L$16</f>
        <v>6.5</v>
      </c>
      <c r="L7" s="64"/>
      <c r="N7" s="64"/>
      <c r="O7">
        <v>0</v>
      </c>
      <c r="Q7" s="64"/>
    </row>
    <row r="8" spans="1:17" x14ac:dyDescent="0.4">
      <c r="A8" s="3"/>
      <c r="B8" s="3"/>
      <c r="C8" s="3"/>
    </row>
    <row r="9" spans="1:17" x14ac:dyDescent="0.4">
      <c r="A9" s="3"/>
      <c r="B9" s="3"/>
      <c r="C9" s="3"/>
    </row>
    <row r="11" spans="1:17" x14ac:dyDescent="0.4">
      <c r="A11" s="1" t="s">
        <v>47</v>
      </c>
    </row>
    <row r="13" spans="1:17" x14ac:dyDescent="0.4">
      <c r="A13" t="s">
        <v>7</v>
      </c>
      <c r="B13" t="s">
        <v>65</v>
      </c>
      <c r="C13" t="s">
        <v>63</v>
      </c>
      <c r="D13" t="s">
        <v>64</v>
      </c>
      <c r="E13" t="s">
        <v>66</v>
      </c>
    </row>
    <row r="14" spans="1:17" x14ac:dyDescent="0.4">
      <c r="B14">
        <v>0.7</v>
      </c>
      <c r="C14">
        <v>3</v>
      </c>
      <c r="D14">
        <v>0.33300000000000002</v>
      </c>
      <c r="E14">
        <v>2</v>
      </c>
    </row>
    <row r="20" spans="1:25" x14ac:dyDescent="0.4">
      <c r="A20" s="1" t="s">
        <v>70</v>
      </c>
    </row>
    <row r="22" spans="1:25" x14ac:dyDescent="0.4">
      <c r="A22" t="s">
        <v>16</v>
      </c>
      <c r="B22" t="s">
        <v>48</v>
      </c>
      <c r="C22" t="s">
        <v>49</v>
      </c>
      <c r="D22" t="s">
        <v>52</v>
      </c>
      <c r="E22" t="s">
        <v>53</v>
      </c>
      <c r="F22" t="s">
        <v>54</v>
      </c>
      <c r="G22" t="s">
        <v>55</v>
      </c>
      <c r="H22" t="s">
        <v>74</v>
      </c>
      <c r="I22" t="s">
        <v>56</v>
      </c>
      <c r="J22" t="s">
        <v>57</v>
      </c>
      <c r="K22" t="s">
        <v>58</v>
      </c>
      <c r="L22" t="s">
        <v>59</v>
      </c>
      <c r="M22" t="s">
        <v>75</v>
      </c>
      <c r="N22" t="s">
        <v>76</v>
      </c>
      <c r="O22" t="s">
        <v>91</v>
      </c>
      <c r="P22" t="s">
        <v>92</v>
      </c>
      <c r="Q22" t="s">
        <v>93</v>
      </c>
      <c r="R22" t="s">
        <v>94</v>
      </c>
      <c r="S22" t="s">
        <v>95</v>
      </c>
      <c r="T22" t="s">
        <v>96</v>
      </c>
      <c r="U22" t="s">
        <v>10</v>
      </c>
      <c r="V22" t="s">
        <v>11</v>
      </c>
      <c r="W22" t="s">
        <v>43</v>
      </c>
      <c r="X22" t="s">
        <v>83</v>
      </c>
      <c r="Y22" t="s">
        <v>4</v>
      </c>
    </row>
    <row r="23" spans="1:25" ht="58.3" x14ac:dyDescent="0.4">
      <c r="A23">
        <f>VLOOKUP(Hübsch!$C$2,ModelDB[#All],7,FALSE)</f>
        <v>0.46209812037329684</v>
      </c>
      <c r="B23">
        <f>VLOOKUP(Hübsch!$C$2,ModelDB[#All],8,FALSE)</f>
        <v>0.1</v>
      </c>
      <c r="C23">
        <f>VLOOKUP(Hübsch!$C$2,ModelDB[#All],9,FALSE)</f>
        <v>0.01</v>
      </c>
      <c r="D23">
        <f>VLOOKUP(Hübsch!$C$2,ModelDB[#All],10,FALSE)</f>
        <v>5</v>
      </c>
      <c r="E23">
        <f>VLOOKUP(Hübsch!$C$2,ModelDB[#All],11,FALSE)</f>
        <v>0.48</v>
      </c>
      <c r="F23">
        <f>VLOOKUP(Hübsch!$C$2,ModelDB[#All],12,FALSE)</f>
        <v>8</v>
      </c>
      <c r="G23">
        <f>VLOOKUP(Hübsch!$C$2,ModelDB[#All],13,FALSE)</f>
        <v>4.8099999999999996</v>
      </c>
      <c r="H23">
        <f>VLOOKUP(Hübsch!$C$2,ModelDB[#All],14,FALSE)</f>
        <v>9.6000000000000002E-5</v>
      </c>
      <c r="I23">
        <f>VLOOKUP(Hübsch!$C$2,ModelDB[#All],15,FALSE)</f>
        <v>1</v>
      </c>
      <c r="J23">
        <v>0.5</v>
      </c>
      <c r="K23">
        <f>VLOOKUP(Hübsch!$C$2,ModelDB[#All],17,FALSE)</f>
        <v>0.88</v>
      </c>
      <c r="L23">
        <f>VLOOKUP(Hübsch!$C$2,ModelDB[#All],18,FALSE)</f>
        <v>0.46</v>
      </c>
      <c r="M23">
        <f>VLOOKUP(Hübsch!$C$2,ModelDB[#All],19,FALSE)</f>
        <v>1</v>
      </c>
      <c r="N23">
        <f>VLOOKUP(Hübsch!$C$2,ModelDB[#All],20,FALSE)</f>
        <v>0.95528543520729325</v>
      </c>
      <c r="O23">
        <f>VLOOKUP(Hübsch!$C$2,ModelDB[#All],21,FALSE)</f>
        <v>2.5</v>
      </c>
      <c r="P23">
        <f>VLOOKUP(Hübsch!$C$2,ModelDB[#All],22,FALSE)</f>
        <v>5</v>
      </c>
      <c r="Q23">
        <f>VLOOKUP(Hübsch!$C$2,ModelDB[#All],23,FALSE)</f>
        <v>8.1999999999999993</v>
      </c>
      <c r="R23">
        <f>VLOOKUP(Hübsch!$C$2,ModelDB[#All],24,FALSE)</f>
        <v>1.45</v>
      </c>
      <c r="S23">
        <f>VLOOKUP(Hübsch!$C$2,ModelDB[#All],25,FALSE)</f>
        <v>35.26</v>
      </c>
      <c r="T23">
        <f>VLOOKUP(Hübsch!$C$2,ModelDB[#All],26,FALSE)</f>
        <v>41.48</v>
      </c>
      <c r="U23" t="str">
        <f>VLOOKUP(Hübsch!$C$2,ModelDB[#All],4,FALSE)</f>
        <v>Glucose</v>
      </c>
      <c r="V23" t="str">
        <f>VLOOKUP(Hübsch!$C$2,ModelDB[#All],5,FALSE)</f>
        <v>(NH4)2SO4</v>
      </c>
      <c r="W23" t="str">
        <f>VLOOKUP(Hübsch!$C$2,ModelDB[#All],6,FALSE)</f>
        <v>Ethanol</v>
      </c>
      <c r="X23" t="str">
        <f>VLOOKUP(Hübsch!$C$2,ModelDB[#All],3,FALSE)</f>
        <v>S.cerevisiae</v>
      </c>
      <c r="Y23" s="2" t="str">
        <f>VLOOKUP(Hübsch!$C$2,ModelDB[#All],2,FALSE)</f>
        <v>nicht wachstumsassoziierte Ethanolbildung mit hohem Ks --&gt; höhere Biomassegehalte bei niedrigen Substrat 1 konz.</v>
      </c>
    </row>
    <row r="36" spans="1:27" x14ac:dyDescent="0.4">
      <c r="A36" t="s">
        <v>73</v>
      </c>
    </row>
    <row r="37" spans="1:27" x14ac:dyDescent="0.4">
      <c r="A37">
        <v>1</v>
      </c>
      <c r="B37">
        <v>2</v>
      </c>
      <c r="C37">
        <v>3</v>
      </c>
      <c r="D37">
        <v>4</v>
      </c>
      <c r="E37">
        <v>5</v>
      </c>
      <c r="F37">
        <v>6</v>
      </c>
      <c r="G37">
        <v>7</v>
      </c>
      <c r="H37">
        <v>8</v>
      </c>
      <c r="I37">
        <v>9</v>
      </c>
      <c r="J37">
        <v>10</v>
      </c>
      <c r="K37">
        <v>11</v>
      </c>
      <c r="L37">
        <v>12</v>
      </c>
      <c r="M37">
        <v>13</v>
      </c>
      <c r="N37">
        <v>14</v>
      </c>
      <c r="O37">
        <v>15</v>
      </c>
      <c r="P37">
        <v>16</v>
      </c>
      <c r="Q37">
        <v>17</v>
      </c>
      <c r="R37">
        <v>18</v>
      </c>
      <c r="S37">
        <v>19</v>
      </c>
      <c r="T37">
        <v>20</v>
      </c>
      <c r="U37">
        <v>21</v>
      </c>
      <c r="V37">
        <v>22</v>
      </c>
      <c r="W37">
        <v>23</v>
      </c>
      <c r="X37">
        <v>24</v>
      </c>
      <c r="Y37">
        <v>25</v>
      </c>
      <c r="Z37">
        <v>26</v>
      </c>
      <c r="AA37">
        <v>27</v>
      </c>
    </row>
    <row r="38" spans="1:27" x14ac:dyDescent="0.4">
      <c r="A38" s="2" t="s">
        <v>2</v>
      </c>
      <c r="B38" s="2" t="s">
        <v>4</v>
      </c>
      <c r="C38" s="2" t="s">
        <v>0</v>
      </c>
      <c r="D38" s="2" t="s">
        <v>10</v>
      </c>
      <c r="E38" s="2" t="s">
        <v>11</v>
      </c>
      <c r="F38" s="2" t="s">
        <v>43</v>
      </c>
      <c r="G38" s="2" t="s">
        <v>16</v>
      </c>
      <c r="H38" s="2" t="s">
        <v>48</v>
      </c>
      <c r="I38" s="2" t="s">
        <v>49</v>
      </c>
      <c r="J38" s="2" t="s">
        <v>52</v>
      </c>
      <c r="K38" s="2" t="s">
        <v>53</v>
      </c>
      <c r="L38" s="2" t="s">
        <v>54</v>
      </c>
      <c r="M38" s="2" t="s">
        <v>55</v>
      </c>
      <c r="N38" s="2" t="s">
        <v>74</v>
      </c>
      <c r="O38" s="2" t="s">
        <v>56</v>
      </c>
      <c r="P38" s="2" t="s">
        <v>57</v>
      </c>
      <c r="Q38" s="2" t="s">
        <v>58</v>
      </c>
      <c r="R38" s="2" t="s">
        <v>59</v>
      </c>
      <c r="S38" s="2" t="s">
        <v>75</v>
      </c>
      <c r="T38" s="2" t="s">
        <v>76</v>
      </c>
      <c r="U38" t="s">
        <v>91</v>
      </c>
      <c r="V38" t="s">
        <v>92</v>
      </c>
      <c r="W38" t="s">
        <v>93</v>
      </c>
      <c r="X38" t="s">
        <v>94</v>
      </c>
      <c r="Y38" t="s">
        <v>95</v>
      </c>
      <c r="Z38" t="s">
        <v>96</v>
      </c>
      <c r="AA38" s="2" t="s">
        <v>71</v>
      </c>
    </row>
    <row r="39" spans="1:27" ht="63" customHeight="1" x14ac:dyDescent="0.4">
      <c r="A39" s="2">
        <v>1</v>
      </c>
      <c r="B39" s="2" t="s">
        <v>15</v>
      </c>
      <c r="C39" s="2" t="s">
        <v>1</v>
      </c>
      <c r="D39" s="2" t="s">
        <v>12</v>
      </c>
      <c r="E39" s="2" t="s">
        <v>13</v>
      </c>
      <c r="F39" s="2" t="s">
        <v>14</v>
      </c>
      <c r="G39" s="2">
        <v>0.46209812037329684</v>
      </c>
      <c r="H39" s="2">
        <v>0.1</v>
      </c>
      <c r="I39" s="2">
        <v>0.01</v>
      </c>
      <c r="J39" s="2">
        <v>5</v>
      </c>
      <c r="K39" s="2">
        <v>0.48</v>
      </c>
      <c r="L39" s="2">
        <v>8</v>
      </c>
      <c r="M39" s="2">
        <v>4.8099999999999996</v>
      </c>
      <c r="N39" s="2">
        <f>9.6*10^(-5)</f>
        <v>9.6000000000000002E-5</v>
      </c>
      <c r="O39" s="2">
        <v>1</v>
      </c>
      <c r="P39" s="65">
        <v>0.5</v>
      </c>
      <c r="Q39" s="2">
        <v>0.88</v>
      </c>
      <c r="R39" s="2">
        <v>0.46</v>
      </c>
      <c r="S39" s="2">
        <v>1</v>
      </c>
      <c r="T39" s="63">
        <f t="shared" ref="T39" si="0">(2*44.01)/(2*46.07)</f>
        <v>0.95528543520729325</v>
      </c>
      <c r="U39">
        <v>2.5</v>
      </c>
      <c r="V39">
        <v>5</v>
      </c>
      <c r="W39">
        <v>8.1999999999999993</v>
      </c>
      <c r="X39">
        <v>1.45</v>
      </c>
      <c r="Y39">
        <v>35.26</v>
      </c>
      <c r="Z39">
        <v>41.48</v>
      </c>
      <c r="AA39" s="2"/>
    </row>
    <row r="40" spans="1:27" ht="58.3" x14ac:dyDescent="0.4">
      <c r="A40" s="2">
        <v>2</v>
      </c>
      <c r="B40" s="2"/>
      <c r="C40" s="2" t="s">
        <v>5</v>
      </c>
      <c r="D40" s="2" t="s">
        <v>12</v>
      </c>
      <c r="E40" s="2" t="s">
        <v>19</v>
      </c>
      <c r="F40" s="2"/>
      <c r="G40" s="2">
        <v>2.0794415416798362</v>
      </c>
      <c r="H40" s="2">
        <v>0.42</v>
      </c>
      <c r="I40" s="2">
        <v>0.1</v>
      </c>
      <c r="J40" s="2">
        <v>0.01</v>
      </c>
      <c r="K40" s="2">
        <v>0.54</v>
      </c>
      <c r="L40" s="2">
        <v>8</v>
      </c>
      <c r="M40" s="2">
        <v>4.8099999999999996</v>
      </c>
      <c r="N40" s="2">
        <f t="shared" ref="N40:N41" si="1">9.6*10^(-5)</f>
        <v>9.6000000000000002E-5</v>
      </c>
      <c r="O40" s="2">
        <v>1</v>
      </c>
      <c r="P40" s="2">
        <v>0</v>
      </c>
      <c r="Q40" s="2">
        <v>1</v>
      </c>
      <c r="R40" s="2">
        <v>0.46</v>
      </c>
      <c r="S40" s="2">
        <v>1</v>
      </c>
      <c r="T40" s="2">
        <v>1</v>
      </c>
      <c r="U40">
        <v>3.95</v>
      </c>
      <c r="V40">
        <v>6.16</v>
      </c>
      <c r="W40">
        <v>9.7100000000000009</v>
      </c>
      <c r="X40">
        <v>9.23</v>
      </c>
      <c r="Y40">
        <v>35.46</v>
      </c>
      <c r="Z40">
        <v>45.77</v>
      </c>
      <c r="AA40" s="2" t="s">
        <v>72</v>
      </c>
    </row>
    <row r="41" spans="1:27" ht="58.3" x14ac:dyDescent="0.4">
      <c r="A41" s="2">
        <v>3</v>
      </c>
      <c r="B41" s="2"/>
      <c r="C41" s="2" t="s">
        <v>46</v>
      </c>
      <c r="D41" s="2" t="s">
        <v>84</v>
      </c>
      <c r="E41" s="2" t="s">
        <v>19</v>
      </c>
      <c r="F41" s="2" t="s">
        <v>85</v>
      </c>
      <c r="G41" s="2">
        <v>2.0794415416798362</v>
      </c>
      <c r="H41" s="2">
        <v>0.42</v>
      </c>
      <c r="I41" s="2">
        <v>0.1</v>
      </c>
      <c r="J41" s="2">
        <v>0.01</v>
      </c>
      <c r="K41" s="2">
        <v>0.54</v>
      </c>
      <c r="L41" s="2">
        <v>8</v>
      </c>
      <c r="M41" s="2">
        <v>4.8099999999999996</v>
      </c>
      <c r="N41" s="2">
        <f t="shared" si="1"/>
        <v>9.6000000000000002E-5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2">
        <v>0</v>
      </c>
      <c r="U41">
        <v>3.95</v>
      </c>
      <c r="V41">
        <v>6.16</v>
      </c>
      <c r="W41">
        <v>9.7100000000000009</v>
      </c>
      <c r="X41">
        <v>9.23</v>
      </c>
      <c r="Y41">
        <v>35.46</v>
      </c>
      <c r="Z41">
        <v>45.77</v>
      </c>
      <c r="AA41" s="2" t="s">
        <v>72</v>
      </c>
    </row>
    <row r="42" spans="1:27" ht="43.75" x14ac:dyDescent="0.4">
      <c r="A42" s="2">
        <v>4</v>
      </c>
      <c r="B42" s="2" t="s">
        <v>77</v>
      </c>
      <c r="C42" s="2" t="s">
        <v>78</v>
      </c>
      <c r="D42" s="2" t="s">
        <v>79</v>
      </c>
      <c r="E42" s="2" t="s">
        <v>80</v>
      </c>
      <c r="F42" s="2" t="s">
        <v>81</v>
      </c>
      <c r="G42" s="2">
        <v>0.2</v>
      </c>
      <c r="H42" s="2">
        <f>10/1000</f>
        <v>0.01</v>
      </c>
      <c r="I42" s="2">
        <f>20/1000</f>
        <v>0.02</v>
      </c>
      <c r="J42" s="2">
        <v>0.01</v>
      </c>
      <c r="K42" s="2">
        <v>0.5</v>
      </c>
      <c r="L42" s="2">
        <v>8</v>
      </c>
      <c r="M42" s="2">
        <v>4.8099999999999996</v>
      </c>
      <c r="N42" s="2">
        <f>9.6*10^(-5)</f>
        <v>9.6000000000000002E-5</v>
      </c>
      <c r="O42" s="2">
        <v>1</v>
      </c>
      <c r="P42" s="2">
        <v>0</v>
      </c>
      <c r="Q42" s="2">
        <v>1.4999999999999999E-2</v>
      </c>
      <c r="R42" s="2">
        <v>0.3</v>
      </c>
      <c r="S42" s="2">
        <v>1</v>
      </c>
      <c r="T42" s="63">
        <f>(2*44.01)/(1*(104-18))</f>
        <v>1.0234883720930232</v>
      </c>
      <c r="AA42" s="2" t="s">
        <v>82</v>
      </c>
    </row>
  </sheetData>
  <phoneticPr fontId="13" type="noConversion"/>
  <dataValidations count="1">
    <dataValidation type="decimal" errorStyle="warning" operator="greaterThanOrEqual" allowBlank="1" showInputMessage="1" showErrorMessage="1" errorTitle="Fehler" error="Bitte eine Zahl eintragen" sqref="G39:Z42" xr:uid="{5135F6C3-D842-4CD8-8473-55D2490AF615}">
      <formula1>0</formula1>
    </dataValidation>
  </dataValidations>
  <pageMargins left="0.7" right="0.7" top="0.78740157499999996" bottom="0.78740157499999996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30F1-D125-4A17-B3DB-982A8FC121C8}">
  <dimension ref="A2"/>
  <sheetViews>
    <sheetView workbookViewId="0">
      <selection activeCell="F13" sqref="F13"/>
    </sheetView>
  </sheetViews>
  <sheetFormatPr baseColWidth="10" defaultRowHeight="14.6" x14ac:dyDescent="0.4"/>
  <sheetData>
    <row r="2" spans="1:1" x14ac:dyDescent="0.4">
      <c r="A2" t="s">
        <v>28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Hübsch</vt:lpstr>
      <vt:lpstr>Input_Array</vt:lpstr>
      <vt:lpstr>ToDo</vt:lpstr>
    </vt:vector>
  </TitlesOfParts>
  <Company>Hochschule für Technik und Wirtschaft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Michael Katzberg</cp:lastModifiedBy>
  <dcterms:created xsi:type="dcterms:W3CDTF">2023-03-09T14:25:16Z</dcterms:created>
  <dcterms:modified xsi:type="dcterms:W3CDTF">2025-12-22T15:17:05Z</dcterms:modified>
</cp:coreProperties>
</file>